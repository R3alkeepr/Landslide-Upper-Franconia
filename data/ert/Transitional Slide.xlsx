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2DD31FCB-0C44-4BBC-A2FB-4627BCF2DB7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ransitional Slide 1" sheetId="1" r:id="rId1"/>
    <sheet name="Transitional Slide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B56" i="1"/>
  <c r="D58" i="1"/>
  <c r="F57" i="1" s="1"/>
  <c r="D56" i="1"/>
  <c r="D54" i="1"/>
  <c r="B44" i="1"/>
  <c r="B31" i="1"/>
  <c r="B18" i="1"/>
  <c r="B5" i="1"/>
  <c r="D45" i="2"/>
  <c r="F44" i="2" s="1"/>
  <c r="D43" i="2"/>
  <c r="D41" i="2"/>
  <c r="F42" i="2" s="1"/>
  <c r="B62" i="1" l="1"/>
  <c r="F55" i="1"/>
  <c r="B49" i="2"/>
  <c r="D33" i="2"/>
  <c r="F32" i="2" s="1"/>
  <c r="D31" i="2"/>
  <c r="D29" i="2"/>
  <c r="B37" i="2" s="1"/>
  <c r="D20" i="2"/>
  <c r="F19" i="2" s="1"/>
  <c r="D18" i="2"/>
  <c r="D16" i="2"/>
  <c r="F17" i="2" s="1"/>
  <c r="D7" i="2"/>
  <c r="F6" i="2" s="1"/>
  <c r="K3" i="2" s="1"/>
  <c r="D5" i="2"/>
  <c r="D3" i="2"/>
  <c r="D46" i="1"/>
  <c r="F45" i="1" s="1"/>
  <c r="D44" i="1"/>
  <c r="D42" i="1"/>
  <c r="F43" i="1" s="1"/>
  <c r="D33" i="1"/>
  <c r="F32" i="1" s="1"/>
  <c r="D31" i="1"/>
  <c r="D29" i="1"/>
  <c r="F30" i="1" s="1"/>
  <c r="D20" i="1"/>
  <c r="F19" i="1" s="1"/>
  <c r="D18" i="1"/>
  <c r="D16" i="1"/>
  <c r="D7" i="1"/>
  <c r="F6" i="1" s="1"/>
  <c r="D5" i="1"/>
  <c r="D3" i="1"/>
  <c r="F4" i="1" l="1"/>
  <c r="B11" i="1"/>
  <c r="B24" i="1"/>
  <c r="B11" i="2"/>
  <c r="F30" i="2"/>
  <c r="B24" i="2"/>
  <c r="F4" i="2"/>
  <c r="B50" i="1"/>
  <c r="B37" i="1"/>
  <c r="F17" i="1"/>
  <c r="K2" i="1" l="1"/>
  <c r="K4" i="1" s="1"/>
  <c r="K2" i="2"/>
  <c r="K4" i="2"/>
</calcChain>
</file>

<file path=xl/sharedStrings.xml><?xml version="1.0" encoding="utf-8"?>
<sst xmlns="http://schemas.openxmlformats.org/spreadsheetml/2006/main" count="144" uniqueCount="31">
  <si>
    <t>Cohesion [kN/m²]</t>
  </si>
  <si>
    <t>Density Water [kN/m³]</t>
  </si>
  <si>
    <t>Density Soil [kN/m³]</t>
  </si>
  <si>
    <t>Saturation [%]</t>
  </si>
  <si>
    <t>failure plane angle [°]</t>
  </si>
  <si>
    <t>friction angle [°]</t>
  </si>
  <si>
    <t xml:space="preserve">cosine failure plane </t>
  </si>
  <si>
    <t xml:space="preserve">tangens friction angle </t>
  </si>
  <si>
    <t xml:space="preserve">sine failure plane </t>
  </si>
  <si>
    <t>Slab 1</t>
  </si>
  <si>
    <t>Factor of Safety Slab 1</t>
  </si>
  <si>
    <t xml:space="preserve">Denominator </t>
  </si>
  <si>
    <t>Divider</t>
  </si>
  <si>
    <t>Slab 2</t>
  </si>
  <si>
    <t>Gravitational Force [m/s²]</t>
  </si>
  <si>
    <t>Transect Thickness [m]</t>
  </si>
  <si>
    <t>Slab 3</t>
  </si>
  <si>
    <t>Slab 4</t>
  </si>
  <si>
    <t>Factor of Safety Slab 2</t>
  </si>
  <si>
    <t>Factor of Safety Slab 3</t>
  </si>
  <si>
    <t>Factor of Safety Slab 4</t>
  </si>
  <si>
    <t>Average FoS Transitional Slide 1</t>
  </si>
  <si>
    <t xml:space="preserve">Sum Denominator </t>
  </si>
  <si>
    <t xml:space="preserve">Sum Devider </t>
  </si>
  <si>
    <t>FoS</t>
  </si>
  <si>
    <t>Average FoS Transitional Slide 2</t>
  </si>
  <si>
    <t>Numerator</t>
  </si>
  <si>
    <t>Sum Numerator</t>
  </si>
  <si>
    <t>Sum Denominator</t>
  </si>
  <si>
    <t xml:space="preserve">Saturation </t>
  </si>
  <si>
    <t>Slab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</si>
</sst>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2" fontId="3" fillId="0" borderId="0" xfId="0" applyNumberFormat="1" applyFont="1"/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"/>
  <sheetViews>
    <sheetView tabSelected="1" workbookViewId="0">
      <selection activeCell="J14" sqref="J14"/>
    </sheetView>
  </sheetViews>
  <sheetFormatPr defaultColWidth="11.5546875" defaultRowHeight="14.4" x14ac:dyDescent="0.3"/>
  <cols>
    <col min="1" max="1" width="25.44140625" bestFit="1" customWidth="1"/>
    <col min="4" max="4" width="21.88671875" bestFit="1" customWidth="1"/>
    <col min="6" max="6" width="14" bestFit="1" customWidth="1"/>
  </cols>
  <sheetData>
    <row r="1" spans="1:13" ht="18" x14ac:dyDescent="0.35">
      <c r="A1" s="5" t="s">
        <v>9</v>
      </c>
      <c r="B1" s="5"/>
      <c r="C1" s="5"/>
      <c r="D1" s="5"/>
      <c r="E1" s="5"/>
      <c r="F1" s="5"/>
      <c r="I1" s="5" t="s">
        <v>21</v>
      </c>
      <c r="J1" s="5"/>
      <c r="K1" s="5"/>
      <c r="L1" s="5"/>
      <c r="M1" s="3"/>
    </row>
    <row r="2" spans="1:13" ht="15.6" x14ac:dyDescent="0.3">
      <c r="A2" s="2" t="s">
        <v>0</v>
      </c>
      <c r="B2" s="1">
        <v>47.5</v>
      </c>
      <c r="D2" s="2" t="s">
        <v>6</v>
      </c>
      <c r="I2" s="7" t="s">
        <v>22</v>
      </c>
      <c r="J2" s="7"/>
      <c r="K2" s="6">
        <f>F4+F17+F30+F43+F55</f>
        <v>542.09642214923304</v>
      </c>
      <c r="L2" s="6"/>
    </row>
    <row r="3" spans="1:13" ht="15.6" x14ac:dyDescent="0.3">
      <c r="A3" s="2" t="s">
        <v>2</v>
      </c>
      <c r="B3" s="1">
        <v>21</v>
      </c>
      <c r="D3" s="1">
        <f>COS(RADIANS(B8))</f>
        <v>0.94551857559931685</v>
      </c>
      <c r="F3" s="2" t="s">
        <v>11</v>
      </c>
      <c r="I3" s="7" t="s">
        <v>23</v>
      </c>
      <c r="J3" s="7"/>
      <c r="K3" s="6">
        <f>F6+F19+F32+F45+F57</f>
        <v>914.61272211085384</v>
      </c>
      <c r="L3" s="6"/>
    </row>
    <row r="4" spans="1:13" ht="15.6" x14ac:dyDescent="0.3">
      <c r="A4" s="2" t="s">
        <v>1</v>
      </c>
      <c r="B4" s="1">
        <v>9.5809999999999995</v>
      </c>
      <c r="D4" s="2" t="s">
        <v>7</v>
      </c>
      <c r="F4">
        <f>B2+(B3-(B4*B5))*D3*D5*B6*B7</f>
        <v>102.24180215886031</v>
      </c>
      <c r="I4" s="7" t="s">
        <v>24</v>
      </c>
      <c r="J4" s="7"/>
      <c r="K4" s="6">
        <f>K2/K3</f>
        <v>0.59270597165772787</v>
      </c>
      <c r="L4" s="6"/>
    </row>
    <row r="5" spans="1:13" ht="15.6" x14ac:dyDescent="0.3">
      <c r="A5" s="2" t="s">
        <v>3</v>
      </c>
      <c r="B5" s="1">
        <f>K7</f>
        <v>1</v>
      </c>
      <c r="D5" s="1">
        <f>TAN(RADIANS(B9))</f>
        <v>0.14766715260789268</v>
      </c>
      <c r="F5" s="2" t="s">
        <v>12</v>
      </c>
    </row>
    <row r="6" spans="1:13" ht="15.6" x14ac:dyDescent="0.3">
      <c r="A6" s="2" t="s">
        <v>14</v>
      </c>
      <c r="B6" s="1">
        <v>9.81</v>
      </c>
      <c r="D6" s="2" t="s">
        <v>8</v>
      </c>
      <c r="F6">
        <f>B3*D7*B6*B7</f>
        <v>234.74603424901599</v>
      </c>
    </row>
    <row r="7" spans="1:13" ht="15.6" x14ac:dyDescent="0.3">
      <c r="A7" s="2" t="s">
        <v>15</v>
      </c>
      <c r="B7" s="1">
        <v>3.5</v>
      </c>
      <c r="D7" s="1">
        <f>SIN(RADIANS(B8))</f>
        <v>0.3255681544571567</v>
      </c>
      <c r="J7" s="2" t="s">
        <v>29</v>
      </c>
      <c r="K7" s="2">
        <v>1</v>
      </c>
    </row>
    <row r="8" spans="1:13" ht="15.6" x14ac:dyDescent="0.3">
      <c r="A8" s="2" t="s">
        <v>4</v>
      </c>
      <c r="B8" s="1">
        <v>19</v>
      </c>
    </row>
    <row r="9" spans="1:13" ht="15.6" x14ac:dyDescent="0.3">
      <c r="A9" s="2" t="s">
        <v>5</v>
      </c>
      <c r="B9" s="1">
        <v>8.4</v>
      </c>
    </row>
    <row r="11" spans="1:13" ht="15.6" x14ac:dyDescent="0.3">
      <c r="A11" s="2" t="s">
        <v>10</v>
      </c>
      <c r="B11">
        <f>(B2+(B3-(B4*B5))*D3*D5*B6*B7)/(B3*D7*B6*B7)</f>
        <v>0.43554219131303124</v>
      </c>
    </row>
    <row r="12" spans="1:13" ht="18" x14ac:dyDescent="0.35">
      <c r="D12" s="3"/>
      <c r="E12" s="3"/>
      <c r="F12" s="3"/>
    </row>
    <row r="13" spans="1:13" ht="15.6" x14ac:dyDescent="0.3">
      <c r="D13" s="2"/>
    </row>
    <row r="14" spans="1:13" ht="18" x14ac:dyDescent="0.35">
      <c r="A14" s="5" t="s">
        <v>13</v>
      </c>
      <c r="B14" s="5"/>
      <c r="C14" s="5"/>
      <c r="D14" s="5"/>
      <c r="E14" s="5"/>
      <c r="F14" s="5"/>
    </row>
    <row r="15" spans="1:13" ht="15.6" x14ac:dyDescent="0.3">
      <c r="A15" s="2" t="s">
        <v>0</v>
      </c>
      <c r="B15" s="1">
        <v>47.5</v>
      </c>
      <c r="D15" s="2" t="s">
        <v>6</v>
      </c>
    </row>
    <row r="16" spans="1:13" ht="15.6" x14ac:dyDescent="0.3">
      <c r="A16" s="2" t="s">
        <v>2</v>
      </c>
      <c r="B16" s="1">
        <v>21</v>
      </c>
      <c r="D16" s="1">
        <f>COS(RADIANS(B21))</f>
        <v>0.99026806874157036</v>
      </c>
      <c r="F16" s="2" t="s">
        <v>11</v>
      </c>
    </row>
    <row r="17" spans="1:6" ht="15.6" x14ac:dyDescent="0.3">
      <c r="A17" s="2" t="s">
        <v>1</v>
      </c>
      <c r="B17" s="1">
        <v>9.5809999999999995</v>
      </c>
      <c r="D17" s="2" t="s">
        <v>7</v>
      </c>
      <c r="F17">
        <f>B15+(B16-(B17*B18))*D16*D18*B19*B20</f>
        <v>88.451872565899549</v>
      </c>
    </row>
    <row r="18" spans="1:6" ht="15.6" x14ac:dyDescent="0.3">
      <c r="A18" s="2" t="s">
        <v>3</v>
      </c>
      <c r="B18" s="1">
        <f>K7</f>
        <v>1</v>
      </c>
      <c r="D18" s="1">
        <f>TAN(RADIANS(B22))</f>
        <v>0.14766715260789268</v>
      </c>
      <c r="F18" s="2" t="s">
        <v>12</v>
      </c>
    </row>
    <row r="19" spans="1:6" ht="15.6" x14ac:dyDescent="0.3">
      <c r="A19" s="2" t="s">
        <v>14</v>
      </c>
      <c r="B19" s="1">
        <v>9.81</v>
      </c>
      <c r="D19" s="2" t="s">
        <v>8</v>
      </c>
      <c r="F19">
        <f>B16*D20*B19*B20</f>
        <v>71.677626321957717</v>
      </c>
    </row>
    <row r="20" spans="1:6" ht="15.6" x14ac:dyDescent="0.3">
      <c r="A20" s="2" t="s">
        <v>15</v>
      </c>
      <c r="B20" s="1">
        <v>2.5</v>
      </c>
      <c r="D20" s="1">
        <f>SIN(RADIANS(B21))</f>
        <v>0.13917310096006544</v>
      </c>
    </row>
    <row r="21" spans="1:6" ht="15.6" x14ac:dyDescent="0.3">
      <c r="A21" s="2" t="s">
        <v>4</v>
      </c>
      <c r="B21" s="1">
        <v>8</v>
      </c>
    </row>
    <row r="22" spans="1:6" ht="15.6" x14ac:dyDescent="0.3">
      <c r="A22" s="2" t="s">
        <v>5</v>
      </c>
      <c r="B22" s="1">
        <v>8.4</v>
      </c>
    </row>
    <row r="24" spans="1:6" ht="15.6" x14ac:dyDescent="0.3">
      <c r="A24" s="2" t="s">
        <v>18</v>
      </c>
      <c r="B24">
        <f>(B15+(B16-(B17*B18))*D16*D18*B19*B20)/(B16*D20*B19*B20)</f>
        <v>1.2340234617786612</v>
      </c>
    </row>
    <row r="25" spans="1:6" ht="18" x14ac:dyDescent="0.35">
      <c r="A25" s="3"/>
      <c r="B25" s="3"/>
      <c r="C25" s="3"/>
      <c r="D25" s="1"/>
      <c r="F25" s="2"/>
    </row>
    <row r="26" spans="1:6" ht="15.6" x14ac:dyDescent="0.3">
      <c r="A26" s="2"/>
      <c r="B26" s="1"/>
      <c r="D26" s="2"/>
    </row>
    <row r="27" spans="1:6" ht="18" x14ac:dyDescent="0.35">
      <c r="A27" s="5" t="s">
        <v>16</v>
      </c>
      <c r="B27" s="5"/>
      <c r="C27" s="5"/>
      <c r="D27" s="5"/>
      <c r="E27" s="5"/>
      <c r="F27" s="5"/>
    </row>
    <row r="28" spans="1:6" ht="15.6" x14ac:dyDescent="0.3">
      <c r="A28" s="2" t="s">
        <v>0</v>
      </c>
      <c r="B28" s="1">
        <v>47.5</v>
      </c>
      <c r="D28" s="2" t="s">
        <v>6</v>
      </c>
    </row>
    <row r="29" spans="1:6" ht="15.6" x14ac:dyDescent="0.3">
      <c r="A29" s="2" t="s">
        <v>2</v>
      </c>
      <c r="B29" s="1">
        <v>21</v>
      </c>
      <c r="D29" s="1">
        <f>COS(RADIANS(B34))</f>
        <v>0.96126169593831889</v>
      </c>
      <c r="F29" s="2" t="s">
        <v>11</v>
      </c>
    </row>
    <row r="30" spans="1:6" ht="15.6" x14ac:dyDescent="0.3">
      <c r="A30" s="2" t="s">
        <v>1</v>
      </c>
      <c r="B30" s="1">
        <v>9.5809999999999995</v>
      </c>
      <c r="D30" s="2" t="s">
        <v>7</v>
      </c>
      <c r="F30">
        <f>B28+(B29-(B30*B31))*D29*D31*B32*B33</f>
        <v>95.202800141265229</v>
      </c>
    </row>
    <row r="31" spans="1:6" ht="15.6" x14ac:dyDescent="0.3">
      <c r="A31" s="2" t="s">
        <v>3</v>
      </c>
      <c r="B31" s="1">
        <f>K7</f>
        <v>1</v>
      </c>
      <c r="D31" s="1">
        <f>TAN(RADIANS(B35))</f>
        <v>0.14766715260789268</v>
      </c>
      <c r="F31" s="2" t="s">
        <v>12</v>
      </c>
    </row>
    <row r="32" spans="1:6" ht="15.6" x14ac:dyDescent="0.3">
      <c r="A32" s="2" t="s">
        <v>14</v>
      </c>
      <c r="B32" s="1">
        <v>9.81</v>
      </c>
      <c r="D32" s="2" t="s">
        <v>8</v>
      </c>
      <c r="F32">
        <f>B29*D33*B32*B33</f>
        <v>170.35215501558002</v>
      </c>
    </row>
    <row r="33" spans="1:6" ht="15.6" x14ac:dyDescent="0.3">
      <c r="A33" s="2" t="s">
        <v>15</v>
      </c>
      <c r="B33" s="1">
        <v>3</v>
      </c>
      <c r="D33" s="1">
        <f>SIN(RADIANS(B34))</f>
        <v>0.27563735581699916</v>
      </c>
    </row>
    <row r="34" spans="1:6" ht="15.6" x14ac:dyDescent="0.3">
      <c r="A34" s="2" t="s">
        <v>4</v>
      </c>
      <c r="B34" s="1">
        <v>16</v>
      </c>
    </row>
    <row r="35" spans="1:6" ht="15.6" x14ac:dyDescent="0.3">
      <c r="A35" s="2" t="s">
        <v>5</v>
      </c>
      <c r="B35" s="1">
        <v>8.4</v>
      </c>
    </row>
    <row r="37" spans="1:6" ht="15.6" x14ac:dyDescent="0.3">
      <c r="A37" s="2" t="s">
        <v>19</v>
      </c>
      <c r="B37">
        <f>(B28+(B29-(B30*B31))*D29*D31*B32*B33)/(B29*D33*B32*B33)</f>
        <v>0.55885879537337346</v>
      </c>
    </row>
    <row r="40" spans="1:6" ht="18" x14ac:dyDescent="0.35">
      <c r="A40" s="5" t="s">
        <v>17</v>
      </c>
      <c r="B40" s="5"/>
      <c r="C40" s="5"/>
      <c r="D40" s="5"/>
      <c r="E40" s="5"/>
      <c r="F40" s="5"/>
    </row>
    <row r="41" spans="1:6" ht="15.6" x14ac:dyDescent="0.3">
      <c r="A41" s="2" t="s">
        <v>0</v>
      </c>
      <c r="B41" s="1">
        <v>47.5</v>
      </c>
      <c r="D41" s="2" t="s">
        <v>6</v>
      </c>
    </row>
    <row r="42" spans="1:6" ht="15.6" x14ac:dyDescent="0.3">
      <c r="A42" s="2" t="s">
        <v>2</v>
      </c>
      <c r="B42" s="1">
        <v>21</v>
      </c>
      <c r="D42" s="1">
        <f>COS(RADIANS(B47))</f>
        <v>0.96592582628906831</v>
      </c>
      <c r="F42" s="2" t="s">
        <v>11</v>
      </c>
    </row>
    <row r="43" spans="1:6" ht="15.6" x14ac:dyDescent="0.3">
      <c r="A43" s="2" t="s">
        <v>1</v>
      </c>
      <c r="B43" s="1">
        <v>9.5809999999999995</v>
      </c>
      <c r="D43" s="2" t="s">
        <v>7</v>
      </c>
      <c r="F43">
        <f>B41+(B42-(B43*B44))*D42*D44*B45*B46</f>
        <v>159.34660322370519</v>
      </c>
    </row>
    <row r="44" spans="1:6" ht="15.6" x14ac:dyDescent="0.3">
      <c r="A44" s="2" t="s">
        <v>3</v>
      </c>
      <c r="B44" s="1">
        <f>K7</f>
        <v>1</v>
      </c>
      <c r="D44" s="1">
        <f>TAN(RADIANS(B48))</f>
        <v>0.14766715260789268</v>
      </c>
      <c r="F44" s="2" t="s">
        <v>12</v>
      </c>
    </row>
    <row r="45" spans="1:6" ht="15.6" x14ac:dyDescent="0.3">
      <c r="A45" s="2" t="s">
        <v>14</v>
      </c>
      <c r="B45" s="1">
        <v>9.81</v>
      </c>
      <c r="D45" s="2" t="s">
        <v>8</v>
      </c>
      <c r="F45">
        <f>B42*D46*B45*B46</f>
        <v>373.23518037099211</v>
      </c>
    </row>
    <row r="46" spans="1:6" ht="15.6" x14ac:dyDescent="0.3">
      <c r="A46" s="2" t="s">
        <v>15</v>
      </c>
      <c r="B46" s="1">
        <v>7</v>
      </c>
      <c r="D46" s="1">
        <f>SIN(RADIANS(B47))</f>
        <v>0.25881904510252074</v>
      </c>
    </row>
    <row r="47" spans="1:6" ht="15.6" x14ac:dyDescent="0.3">
      <c r="A47" s="2" t="s">
        <v>4</v>
      </c>
      <c r="B47" s="1">
        <v>15</v>
      </c>
    </row>
    <row r="48" spans="1:6" ht="15.6" x14ac:dyDescent="0.3">
      <c r="A48" s="2" t="s">
        <v>5</v>
      </c>
      <c r="B48" s="1">
        <v>8.4</v>
      </c>
    </row>
    <row r="50" spans="1:6" ht="15.6" x14ac:dyDescent="0.3">
      <c r="A50" s="2" t="s">
        <v>20</v>
      </c>
      <c r="B50">
        <f>(B41+(B42-(B43*B44))*D42*D44*B45*B46)/(B42*D46*B45*B46)</f>
        <v>0.42693350360305327</v>
      </c>
    </row>
    <row r="52" spans="1:6" ht="18" x14ac:dyDescent="0.35">
      <c r="A52" s="5" t="s">
        <v>30</v>
      </c>
      <c r="B52" s="5"/>
      <c r="C52" s="5"/>
      <c r="D52" s="5"/>
      <c r="E52" s="5"/>
      <c r="F52" s="5"/>
    </row>
    <row r="53" spans="1:6" ht="15.6" x14ac:dyDescent="0.3">
      <c r="A53" s="2" t="s">
        <v>0</v>
      </c>
      <c r="B53" s="1">
        <v>47.5</v>
      </c>
      <c r="D53" s="2" t="s">
        <v>6</v>
      </c>
    </row>
    <row r="54" spans="1:6" ht="15.6" x14ac:dyDescent="0.3">
      <c r="A54" s="2" t="s">
        <v>2</v>
      </c>
      <c r="B54" s="1">
        <v>21</v>
      </c>
      <c r="D54" s="1">
        <f>COS(RADIANS(B59))</f>
        <v>0.99452189536827329</v>
      </c>
      <c r="F54" s="2" t="s">
        <v>11</v>
      </c>
    </row>
    <row r="55" spans="1:6" ht="15.6" x14ac:dyDescent="0.3">
      <c r="A55" s="2" t="s">
        <v>1</v>
      </c>
      <c r="B55" s="1">
        <v>9.5809999999999995</v>
      </c>
      <c r="D55" s="2" t="s">
        <v>7</v>
      </c>
      <c r="F55">
        <f>B53+(B54-(B55*B56))*D54*D56*B57*B58</f>
        <v>96.853344059502817</v>
      </c>
    </row>
    <row r="56" spans="1:6" ht="15.6" x14ac:dyDescent="0.3">
      <c r="A56" s="2" t="s">
        <v>3</v>
      </c>
      <c r="B56" s="1">
        <f>K7</f>
        <v>1</v>
      </c>
      <c r="D56" s="1">
        <f>TAN(RADIANS(B60))</f>
        <v>0.14766715260789268</v>
      </c>
      <c r="F56" s="2" t="s">
        <v>12</v>
      </c>
    </row>
    <row r="57" spans="1:6" ht="15.6" x14ac:dyDescent="0.3">
      <c r="A57" s="2" t="s">
        <v>14</v>
      </c>
      <c r="B57" s="1">
        <v>9.81</v>
      </c>
      <c r="D57" s="2" t="s">
        <v>8</v>
      </c>
      <c r="F57">
        <f>B54*D58*B57*B58</f>
        <v>64.601726153307879</v>
      </c>
    </row>
    <row r="58" spans="1:6" ht="15.6" x14ac:dyDescent="0.3">
      <c r="A58" s="2" t="s">
        <v>15</v>
      </c>
      <c r="B58" s="1">
        <v>3</v>
      </c>
      <c r="D58" s="1">
        <f>SIN(RADIANS(B59))</f>
        <v>0.10452846326765347</v>
      </c>
    </row>
    <row r="59" spans="1:6" ht="15.6" x14ac:dyDescent="0.3">
      <c r="A59" s="2" t="s">
        <v>4</v>
      </c>
      <c r="B59" s="1">
        <v>6</v>
      </c>
    </row>
    <row r="60" spans="1:6" ht="15.6" x14ac:dyDescent="0.3">
      <c r="A60" s="2" t="s">
        <v>5</v>
      </c>
      <c r="B60" s="1">
        <v>8.4</v>
      </c>
    </row>
    <row r="62" spans="1:6" ht="15.6" x14ac:dyDescent="0.3">
      <c r="A62" s="2" t="s">
        <v>20</v>
      </c>
      <c r="B62">
        <f>(B53+(B54-(B55*B56))*D54*D56*B57*B58)/(B54*D58*B57*B58)</f>
        <v>1.4992377112286113</v>
      </c>
    </row>
  </sheetData>
  <mergeCells count="12">
    <mergeCell ref="A52:F52"/>
    <mergeCell ref="A1:F1"/>
    <mergeCell ref="A14:F14"/>
    <mergeCell ref="A27:F27"/>
    <mergeCell ref="A40:F40"/>
    <mergeCell ref="K4:L4"/>
    <mergeCell ref="I1:L1"/>
    <mergeCell ref="I2:J2"/>
    <mergeCell ref="I3:J3"/>
    <mergeCell ref="I4:J4"/>
    <mergeCell ref="K2:L2"/>
    <mergeCell ref="K3:L3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9"/>
  <sheetViews>
    <sheetView workbookViewId="0">
      <selection activeCell="M17" sqref="M17"/>
    </sheetView>
  </sheetViews>
  <sheetFormatPr defaultColWidth="11.5546875" defaultRowHeight="14.4" x14ac:dyDescent="0.3"/>
  <cols>
    <col min="1" max="1" width="25.44140625" bestFit="1" customWidth="1"/>
    <col min="4" max="4" width="21.88671875" bestFit="1" customWidth="1"/>
    <col min="6" max="6" width="14" bestFit="1" customWidth="1"/>
  </cols>
  <sheetData>
    <row r="1" spans="1:12" ht="18" x14ac:dyDescent="0.35">
      <c r="A1" s="5" t="s">
        <v>9</v>
      </c>
      <c r="B1" s="5"/>
      <c r="C1" s="5"/>
      <c r="D1" s="5"/>
      <c r="E1" s="5"/>
      <c r="F1" s="5"/>
      <c r="I1" s="5" t="s">
        <v>25</v>
      </c>
      <c r="J1" s="5"/>
      <c r="K1" s="5"/>
      <c r="L1" s="5"/>
    </row>
    <row r="2" spans="1:12" ht="15.6" x14ac:dyDescent="0.3">
      <c r="A2" s="2" t="s">
        <v>0</v>
      </c>
      <c r="B2" s="1">
        <v>47.5</v>
      </c>
      <c r="D2" s="2" t="s">
        <v>6</v>
      </c>
      <c r="I2" s="7" t="s">
        <v>27</v>
      </c>
      <c r="J2" s="7"/>
      <c r="K2" s="6">
        <f>F4+F17+F30+F42</f>
        <v>385.30349649154829</v>
      </c>
      <c r="L2" s="6"/>
    </row>
    <row r="3" spans="1:12" ht="15.6" x14ac:dyDescent="0.3">
      <c r="A3" s="2" t="s">
        <v>2</v>
      </c>
      <c r="B3" s="1">
        <v>21</v>
      </c>
      <c r="D3" s="1">
        <f>COS(RADIANS(B8))</f>
        <v>0.98162718344766398</v>
      </c>
      <c r="F3" s="2" t="s">
        <v>26</v>
      </c>
      <c r="I3" s="7" t="s">
        <v>28</v>
      </c>
      <c r="J3" s="7"/>
      <c r="K3" s="6">
        <f>F6+F19+F32+F44</f>
        <v>655.24831012206766</v>
      </c>
      <c r="L3" s="6"/>
    </row>
    <row r="4" spans="1:12" ht="15.6" x14ac:dyDescent="0.3">
      <c r="A4" s="2" t="s">
        <v>1</v>
      </c>
      <c r="B4" s="1">
        <v>9.5809999999999995</v>
      </c>
      <c r="D4" s="2" t="s">
        <v>7</v>
      </c>
      <c r="F4">
        <f>B2+(B3-(B4*B5))*D3*D5*B6*B7</f>
        <v>153.10138999856005</v>
      </c>
      <c r="I4" s="7" t="s">
        <v>24</v>
      </c>
      <c r="J4" s="7"/>
      <c r="K4" s="6">
        <f>K2/K3</f>
        <v>0.58802669238440197</v>
      </c>
      <c r="L4" s="6"/>
    </row>
    <row r="5" spans="1:12" ht="15.6" x14ac:dyDescent="0.3">
      <c r="A5" s="2" t="s">
        <v>3</v>
      </c>
      <c r="B5" s="1">
        <v>0.9</v>
      </c>
      <c r="D5" s="1">
        <f>TAN(RADIANS(B9))</f>
        <v>0.14766715260789268</v>
      </c>
      <c r="F5" s="2" t="s">
        <v>11</v>
      </c>
      <c r="I5" s="2"/>
      <c r="J5" s="2"/>
      <c r="K5" s="4"/>
      <c r="L5" s="4"/>
    </row>
    <row r="6" spans="1:12" ht="15.6" x14ac:dyDescent="0.3">
      <c r="A6" s="2" t="s">
        <v>14</v>
      </c>
      <c r="B6" s="1">
        <v>9.81</v>
      </c>
      <c r="D6" s="2" t="s">
        <v>8</v>
      </c>
      <c r="F6">
        <f>B3*D7*B6*B7</f>
        <v>235.851366825132</v>
      </c>
    </row>
    <row r="7" spans="1:12" ht="15.6" x14ac:dyDescent="0.3">
      <c r="A7" s="2" t="s">
        <v>15</v>
      </c>
      <c r="B7" s="1">
        <v>6</v>
      </c>
      <c r="D7" s="1">
        <f>SIN(RADIANS(B8))</f>
        <v>0.1908089953765448</v>
      </c>
    </row>
    <row r="8" spans="1:12" ht="15.6" x14ac:dyDescent="0.3">
      <c r="A8" s="2" t="s">
        <v>4</v>
      </c>
      <c r="B8" s="1">
        <v>11</v>
      </c>
    </row>
    <row r="9" spans="1:12" ht="15.6" x14ac:dyDescent="0.3">
      <c r="A9" s="2" t="s">
        <v>5</v>
      </c>
      <c r="B9" s="1">
        <v>8.4</v>
      </c>
    </row>
    <row r="11" spans="1:12" ht="15.6" x14ac:dyDescent="0.3">
      <c r="A11" s="2" t="s">
        <v>10</v>
      </c>
      <c r="B11">
        <f>(B2+(B3-(B4*B5))*D3*D5*B6*B7)/(B3*D7*B6*B7)</f>
        <v>0.64914353501319533</v>
      </c>
    </row>
    <row r="14" spans="1:12" ht="18" x14ac:dyDescent="0.35">
      <c r="A14" s="5" t="s">
        <v>13</v>
      </c>
      <c r="B14" s="5"/>
      <c r="C14" s="5"/>
      <c r="D14" s="5"/>
      <c r="E14" s="5"/>
      <c r="F14" s="5"/>
    </row>
    <row r="15" spans="1:12" ht="15.6" x14ac:dyDescent="0.3">
      <c r="A15" s="2" t="s">
        <v>0</v>
      </c>
      <c r="B15" s="1">
        <v>47.5</v>
      </c>
      <c r="D15" s="2" t="s">
        <v>6</v>
      </c>
    </row>
    <row r="16" spans="1:12" ht="15.6" x14ac:dyDescent="0.3">
      <c r="A16" s="2" t="s">
        <v>2</v>
      </c>
      <c r="B16" s="1">
        <v>21</v>
      </c>
      <c r="D16" s="1">
        <f>COS(RADIANS(B21))</f>
        <v>0.90630778703664994</v>
      </c>
      <c r="F16" s="2" t="s">
        <v>26</v>
      </c>
    </row>
    <row r="17" spans="1:6" ht="15.6" x14ac:dyDescent="0.3">
      <c r="A17" s="2" t="s">
        <v>1</v>
      </c>
      <c r="B17" s="1">
        <v>9.5809999999999995</v>
      </c>
      <c r="D17" s="2" t="s">
        <v>7</v>
      </c>
      <c r="F17">
        <f>B15+(B16-(B17*B18))*D16*D18*B19*B20</f>
        <v>79.999562526187887</v>
      </c>
    </row>
    <row r="18" spans="1:6" ht="15.6" x14ac:dyDescent="0.3">
      <c r="A18" s="2" t="s">
        <v>3</v>
      </c>
      <c r="B18" s="1">
        <v>0.9</v>
      </c>
      <c r="D18" s="1">
        <f>TAN(RADIANS(B22))</f>
        <v>0.14766715260789268</v>
      </c>
      <c r="F18" s="2" t="s">
        <v>11</v>
      </c>
    </row>
    <row r="19" spans="1:6" ht="15.6" x14ac:dyDescent="0.3">
      <c r="A19" s="2" t="s">
        <v>14</v>
      </c>
      <c r="B19" s="1">
        <v>9.81</v>
      </c>
      <c r="D19" s="2" t="s">
        <v>8</v>
      </c>
      <c r="F19">
        <f>B16*D20*B19*B20</f>
        <v>174.12717620240298</v>
      </c>
    </row>
    <row r="20" spans="1:6" ht="15.6" x14ac:dyDescent="0.3">
      <c r="A20" s="2" t="s">
        <v>15</v>
      </c>
      <c r="B20" s="1">
        <v>2</v>
      </c>
      <c r="D20" s="1">
        <f>SIN(RADIANS(B21))</f>
        <v>0.42261826174069944</v>
      </c>
    </row>
    <row r="21" spans="1:6" ht="15.6" x14ac:dyDescent="0.3">
      <c r="A21" s="2" t="s">
        <v>4</v>
      </c>
      <c r="B21" s="1">
        <v>25</v>
      </c>
    </row>
    <row r="22" spans="1:6" ht="15.6" x14ac:dyDescent="0.3">
      <c r="A22" s="2" t="s">
        <v>5</v>
      </c>
      <c r="B22" s="1">
        <v>8.4</v>
      </c>
    </row>
    <row r="24" spans="1:6" ht="15.6" x14ac:dyDescent="0.3">
      <c r="A24" s="2" t="s">
        <v>18</v>
      </c>
      <c r="B24">
        <f>(B15+(B16-(B17*B18))*D16*D18*B19*B20)/(B16*D20*B19*B20)</f>
        <v>0.45943180307017395</v>
      </c>
    </row>
    <row r="27" spans="1:6" ht="18" x14ac:dyDescent="0.35">
      <c r="A27" s="5" t="s">
        <v>16</v>
      </c>
      <c r="B27" s="5"/>
      <c r="C27" s="5"/>
      <c r="D27" s="5"/>
      <c r="E27" s="5"/>
      <c r="F27" s="5"/>
    </row>
    <row r="28" spans="1:6" ht="15.6" x14ac:dyDescent="0.3">
      <c r="A28" s="2" t="s">
        <v>0</v>
      </c>
      <c r="B28" s="1">
        <v>47.5</v>
      </c>
      <c r="D28" s="2" t="s">
        <v>6</v>
      </c>
    </row>
    <row r="29" spans="1:6" ht="15.6" x14ac:dyDescent="0.3">
      <c r="A29" s="2" t="s">
        <v>2</v>
      </c>
      <c r="B29" s="1">
        <v>21</v>
      </c>
      <c r="D29" s="1">
        <f>COS(RADIANS(B34))</f>
        <v>0.84804809615642596</v>
      </c>
      <c r="F29" s="2" t="s">
        <v>26</v>
      </c>
    </row>
    <row r="30" spans="1:6" ht="15.6" x14ac:dyDescent="0.3">
      <c r="A30" s="2" t="s">
        <v>1</v>
      </c>
      <c r="B30" s="1">
        <v>9.5809999999999995</v>
      </c>
      <c r="D30" s="2" t="s">
        <v>7</v>
      </c>
      <c r="F30">
        <f>B28+(B29-(B30*B31))*D29*D31*B32*B33</f>
        <v>77.910410812387539</v>
      </c>
    </row>
    <row r="31" spans="1:6" ht="15.6" x14ac:dyDescent="0.3">
      <c r="A31" s="2" t="s">
        <v>3</v>
      </c>
      <c r="B31" s="1">
        <v>0.9</v>
      </c>
      <c r="D31" s="1">
        <f>TAN(RADIANS(B35))</f>
        <v>0.14766715260789268</v>
      </c>
      <c r="F31" s="2" t="s">
        <v>11</v>
      </c>
    </row>
    <row r="32" spans="1:6" ht="15.6" x14ac:dyDescent="0.3">
      <c r="A32" s="2" t="s">
        <v>14</v>
      </c>
      <c r="B32" s="1">
        <v>9.81</v>
      </c>
      <c r="D32" s="2" t="s">
        <v>8</v>
      </c>
      <c r="F32">
        <f>B29*D33*B32*B33</f>
        <v>218.33733524936508</v>
      </c>
    </row>
    <row r="33" spans="1:6" ht="15.6" x14ac:dyDescent="0.3">
      <c r="A33" s="2" t="s">
        <v>15</v>
      </c>
      <c r="B33" s="1">
        <v>2</v>
      </c>
      <c r="D33" s="1">
        <f>SIN(RADIANS(B34))</f>
        <v>0.5299192642332049</v>
      </c>
    </row>
    <row r="34" spans="1:6" ht="15.6" x14ac:dyDescent="0.3">
      <c r="A34" s="2" t="s">
        <v>4</v>
      </c>
      <c r="B34" s="1">
        <v>32</v>
      </c>
    </row>
    <row r="35" spans="1:6" ht="15.6" x14ac:dyDescent="0.3">
      <c r="A35" s="2" t="s">
        <v>5</v>
      </c>
      <c r="B35" s="1">
        <v>8.4</v>
      </c>
    </row>
    <row r="37" spans="1:6" ht="15.6" x14ac:dyDescent="0.3">
      <c r="A37" s="2" t="s">
        <v>19</v>
      </c>
      <c r="B37">
        <f>(B28+(B29-(B30*B31))*D29*D31*B32*B33)/(B29*D33*B32*B33)</f>
        <v>0.35683503567269126</v>
      </c>
    </row>
    <row r="39" spans="1:6" ht="18" x14ac:dyDescent="0.35">
      <c r="A39" s="5" t="s">
        <v>17</v>
      </c>
      <c r="B39" s="5"/>
      <c r="C39" s="5"/>
      <c r="D39" s="5"/>
      <c r="E39" s="5"/>
      <c r="F39" s="5"/>
    </row>
    <row r="40" spans="1:6" ht="15.6" x14ac:dyDescent="0.3">
      <c r="A40" s="2" t="s">
        <v>0</v>
      </c>
      <c r="B40" s="1">
        <v>47.5</v>
      </c>
      <c r="D40" s="2" t="s">
        <v>6</v>
      </c>
    </row>
    <row r="41" spans="1:6" ht="15.6" x14ac:dyDescent="0.3">
      <c r="A41" s="2" t="s">
        <v>2</v>
      </c>
      <c r="B41" s="1">
        <v>21</v>
      </c>
      <c r="D41" s="1">
        <f>COS(RADIANS(B46))</f>
        <v>0.99619469809174555</v>
      </c>
      <c r="F41" s="2" t="s">
        <v>26</v>
      </c>
    </row>
    <row r="42" spans="1:6" ht="15.6" x14ac:dyDescent="0.3">
      <c r="A42" s="2" t="s">
        <v>1</v>
      </c>
      <c r="B42" s="1">
        <v>9.5809999999999995</v>
      </c>
      <c r="D42" s="2" t="s">
        <v>7</v>
      </c>
      <c r="F42">
        <f>B40+(B41-(B42*B43))*D41*D43*B44*B45</f>
        <v>74.292133154412852</v>
      </c>
    </row>
    <row r="43" spans="1:6" ht="15.6" x14ac:dyDescent="0.3">
      <c r="A43" s="2" t="s">
        <v>3</v>
      </c>
      <c r="B43" s="1">
        <v>0.9</v>
      </c>
      <c r="D43" s="1">
        <f>TAN(RADIANS(B47))</f>
        <v>0.14766715260789268</v>
      </c>
      <c r="F43" s="2" t="s">
        <v>11</v>
      </c>
    </row>
    <row r="44" spans="1:6" ht="15.6" x14ac:dyDescent="0.3">
      <c r="A44" s="2" t="s">
        <v>14</v>
      </c>
      <c r="B44" s="1">
        <v>9.81</v>
      </c>
      <c r="D44" s="2" t="s">
        <v>8</v>
      </c>
      <c r="F44">
        <f>B41*D45*B44*B45</f>
        <v>26.932431845167592</v>
      </c>
    </row>
    <row r="45" spans="1:6" ht="15.6" x14ac:dyDescent="0.3">
      <c r="A45" s="2" t="s">
        <v>15</v>
      </c>
      <c r="B45" s="1">
        <v>1.5</v>
      </c>
      <c r="D45" s="1">
        <f>SIN(RADIANS(B46))</f>
        <v>8.7155742747658166E-2</v>
      </c>
    </row>
    <row r="46" spans="1:6" ht="15.6" x14ac:dyDescent="0.3">
      <c r="A46" s="2" t="s">
        <v>4</v>
      </c>
      <c r="B46" s="1">
        <v>5</v>
      </c>
    </row>
    <row r="47" spans="1:6" ht="15.6" x14ac:dyDescent="0.3">
      <c r="A47" s="2" t="s">
        <v>5</v>
      </c>
      <c r="B47" s="1">
        <v>8.4</v>
      </c>
    </row>
    <row r="49" spans="1:2" ht="15.6" x14ac:dyDescent="0.3">
      <c r="A49" s="2" t="s">
        <v>20</v>
      </c>
      <c r="B49">
        <f>(B40+(B41-(B42*B43))*D41*D43*B44*B45)/(B41*D45*B44*B45)</f>
        <v>2.7584636092838708</v>
      </c>
    </row>
  </sheetData>
  <mergeCells count="11">
    <mergeCell ref="A39:F39"/>
    <mergeCell ref="A1:F1"/>
    <mergeCell ref="A14:F14"/>
    <mergeCell ref="A27:F27"/>
    <mergeCell ref="I1:L1"/>
    <mergeCell ref="I2:J2"/>
    <mergeCell ref="K2:L2"/>
    <mergeCell ref="I3:J3"/>
    <mergeCell ref="K3:L3"/>
    <mergeCell ref="I4:J4"/>
    <mergeCell ref="K4:L4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Transitional Slide 1</vt:lpstr>
      <vt:lpstr>Transitional Slide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Peter, Kevin</dc:creator>
  <cp:lastModifiedBy>Kevin Peter</cp:lastModifiedBy>
  <dcterms:created xsi:type="dcterms:W3CDTF">2024-02-23T22:51:42Z</dcterms:created>
  <dcterms:modified xsi:type="dcterms:W3CDTF">2024-04-01T21:33:07Z</dcterms:modified>
</cp:coreProperties>
</file>