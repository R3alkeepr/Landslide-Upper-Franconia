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kevpe\Downloads\Data\"/>
    </mc:Choice>
  </mc:AlternateContent>
  <xr:revisionPtr revIDLastSave="0" documentId="13_ncr:1_{C9FCBC48-8408-4776-A823-7D9953EB763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otational Slide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K3" i="1"/>
  <c r="B43" i="1"/>
  <c r="B27" i="1"/>
  <c r="B11" i="1"/>
  <c r="B6" i="1"/>
  <c r="B38" i="1"/>
  <c r="D41" i="1"/>
  <c r="D39" i="1"/>
  <c r="D37" i="1"/>
  <c r="D35" i="1"/>
  <c r="B35" i="1" s="1"/>
  <c r="D25" i="1"/>
  <c r="D23" i="1"/>
  <c r="B22" i="1"/>
  <c r="D21" i="1"/>
  <c r="D19" i="1"/>
  <c r="B19" i="1" s="1"/>
  <c r="D9" i="1"/>
  <c r="D7" i="1"/>
  <c r="D5" i="1"/>
  <c r="D3" i="1"/>
  <c r="B41" i="1" l="1"/>
  <c r="B46" i="1" s="1"/>
  <c r="B25" i="1"/>
  <c r="B30" i="1" s="1"/>
  <c r="B9" i="1"/>
  <c r="F39" i="1"/>
  <c r="F23" i="1"/>
  <c r="F7" i="1"/>
  <c r="F20" i="1" l="1"/>
  <c r="F36" i="1"/>
  <c r="B3" i="1"/>
  <c r="B14" i="1" s="1"/>
  <c r="F4" i="1" l="1"/>
  <c r="K4" i="1" s="1"/>
</calcChain>
</file>

<file path=xl/sharedStrings.xml><?xml version="1.0" encoding="utf-8"?>
<sst xmlns="http://schemas.openxmlformats.org/spreadsheetml/2006/main" count="62" uniqueCount="28">
  <si>
    <t>Slab 1</t>
  </si>
  <si>
    <t>Cohesion [kN/m²]</t>
  </si>
  <si>
    <t xml:space="preserve">cosine failure plane </t>
  </si>
  <si>
    <t xml:space="preserve">Denominator </t>
  </si>
  <si>
    <t xml:space="preserve">tangens friction angle </t>
  </si>
  <si>
    <t>Saturation [%]</t>
  </si>
  <si>
    <t xml:space="preserve">sine failure plane </t>
  </si>
  <si>
    <t>failure plane angle [°]</t>
  </si>
  <si>
    <t>friction angle [°]</t>
  </si>
  <si>
    <t>Factor of Safety Slab 1</t>
  </si>
  <si>
    <t>Transect Width [m]</t>
  </si>
  <si>
    <t>Base Transect Length [m]</t>
  </si>
  <si>
    <t>Weight of Slab [kN/m]</t>
  </si>
  <si>
    <t>Specific Weight of Soil [kN/m³]</t>
  </si>
  <si>
    <t>Soil Depth [m]</t>
  </si>
  <si>
    <t>Pore Pressure [kN/m³]</t>
  </si>
  <si>
    <t>Specific Weight of Water [kN/m³]</t>
  </si>
  <si>
    <t>cosine failure plane ²</t>
  </si>
  <si>
    <t>Slab 2</t>
  </si>
  <si>
    <t>Factor of Safety Slab 2</t>
  </si>
  <si>
    <t>Slab 3</t>
  </si>
  <si>
    <t>Factor of Safety Slab 3</t>
  </si>
  <si>
    <t>FoS</t>
  </si>
  <si>
    <t>Numerator</t>
  </si>
  <si>
    <t>Sum Denominator</t>
  </si>
  <si>
    <t>Sum Numerator</t>
  </si>
  <si>
    <t>Average FoS Rotational Slide</t>
  </si>
  <si>
    <t>Saturation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</si>
</sst>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abSelected="1" workbookViewId="0">
      <selection activeCell="L8" sqref="L8"/>
    </sheetView>
  </sheetViews>
  <sheetFormatPr defaultColWidth="11.5546875" defaultRowHeight="14.4" x14ac:dyDescent="0.3"/>
  <cols>
    <col min="1" max="1" width="32.44140625" bestFit="1" customWidth="1"/>
    <col min="2" max="2" width="12" bestFit="1" customWidth="1"/>
    <col min="4" max="4" width="21.88671875" bestFit="1" customWidth="1"/>
    <col min="6" max="6" width="14" bestFit="1" customWidth="1"/>
  </cols>
  <sheetData>
    <row r="1" spans="1:12" ht="18" x14ac:dyDescent="0.35">
      <c r="A1" s="5" t="s">
        <v>0</v>
      </c>
      <c r="B1" s="5"/>
      <c r="C1" s="5"/>
      <c r="D1" s="5"/>
      <c r="E1" s="5"/>
      <c r="F1" s="5"/>
      <c r="I1" s="5" t="s">
        <v>26</v>
      </c>
      <c r="J1" s="5"/>
      <c r="K1" s="5"/>
      <c r="L1" s="5"/>
    </row>
    <row r="2" spans="1:12" ht="15.6" x14ac:dyDescent="0.3">
      <c r="A2" s="1" t="s">
        <v>1</v>
      </c>
      <c r="B2" s="2">
        <v>48</v>
      </c>
      <c r="D2" s="1" t="s">
        <v>2</v>
      </c>
      <c r="I2" s="6" t="s">
        <v>25</v>
      </c>
      <c r="J2" s="6"/>
      <c r="K2" s="7">
        <f>F4+F20+F36</f>
        <v>3711.4154596427838</v>
      </c>
      <c r="L2" s="7"/>
    </row>
    <row r="3" spans="1:12" ht="15.6" x14ac:dyDescent="0.3">
      <c r="A3" s="1" t="s">
        <v>11</v>
      </c>
      <c r="B3" s="2">
        <f>B4/D3</f>
        <v>19.629909152447276</v>
      </c>
      <c r="D3" s="2">
        <f>COS(RADIANS(B5))</f>
        <v>0.86602540378443871</v>
      </c>
      <c r="F3" s="1" t="s">
        <v>23</v>
      </c>
      <c r="I3" s="6" t="s">
        <v>24</v>
      </c>
      <c r="J3" s="6"/>
      <c r="K3" s="7">
        <f>F7+F23+F39</f>
        <v>1808.650736524125</v>
      </c>
      <c r="L3" s="7"/>
    </row>
    <row r="4" spans="1:12" ht="15.6" x14ac:dyDescent="0.3">
      <c r="A4" s="1" t="s">
        <v>10</v>
      </c>
      <c r="B4" s="2">
        <v>17</v>
      </c>
      <c r="D4" s="1" t="s">
        <v>17</v>
      </c>
      <c r="F4">
        <f>(B2*B3+(B6*D3-B9*B3)*D7)</f>
        <v>1272.5805587494328</v>
      </c>
      <c r="I4" s="6" t="s">
        <v>22</v>
      </c>
      <c r="J4" s="6"/>
      <c r="K4" s="7">
        <f>K2/K3</f>
        <v>2.0520354674863333</v>
      </c>
      <c r="L4" s="7"/>
    </row>
    <row r="5" spans="1:12" ht="15.6" x14ac:dyDescent="0.3">
      <c r="A5" s="1" t="s">
        <v>7</v>
      </c>
      <c r="B5" s="2">
        <v>30</v>
      </c>
      <c r="D5">
        <f>COS(RADIANS(B5))*COS(RADIANS(B5))</f>
        <v>0.75000000000000011</v>
      </c>
      <c r="I5" s="3"/>
      <c r="J5" s="3"/>
      <c r="K5" s="4"/>
      <c r="L5" s="4"/>
    </row>
    <row r="6" spans="1:12" ht="15.6" x14ac:dyDescent="0.3">
      <c r="A6" s="1" t="s">
        <v>12</v>
      </c>
      <c r="B6" s="2">
        <f>B7*B8*B4</f>
        <v>2856</v>
      </c>
      <c r="D6" s="1" t="s">
        <v>4</v>
      </c>
      <c r="F6" s="1" t="s">
        <v>3</v>
      </c>
    </row>
    <row r="7" spans="1:12" ht="15.6" x14ac:dyDescent="0.3">
      <c r="A7" s="1" t="s">
        <v>13</v>
      </c>
      <c r="B7" s="2">
        <v>21</v>
      </c>
      <c r="D7">
        <f>TAN(RADIANS(B12))</f>
        <v>0.24562355846482567</v>
      </c>
      <c r="F7">
        <f>(B6*D9)</f>
        <v>1427.9999999999998</v>
      </c>
    </row>
    <row r="8" spans="1:12" ht="15.6" x14ac:dyDescent="0.3">
      <c r="A8" s="1" t="s">
        <v>14</v>
      </c>
      <c r="B8" s="2">
        <v>8</v>
      </c>
      <c r="D8" s="1" t="s">
        <v>6</v>
      </c>
    </row>
    <row r="9" spans="1:12" ht="15.6" x14ac:dyDescent="0.3">
      <c r="A9" s="1" t="s">
        <v>15</v>
      </c>
      <c r="B9" s="2">
        <f>B10*B11*B8*D5</f>
        <v>57.486000000000004</v>
      </c>
      <c r="D9">
        <f>SIN(RADIANS(B5))</f>
        <v>0.49999999999999994</v>
      </c>
    </row>
    <row r="10" spans="1:12" ht="15.6" x14ac:dyDescent="0.3">
      <c r="A10" s="1" t="s">
        <v>16</v>
      </c>
      <c r="B10" s="2">
        <v>9.5809999999999995</v>
      </c>
    </row>
    <row r="11" spans="1:12" ht="15.6" x14ac:dyDescent="0.3">
      <c r="A11" s="1" t="s">
        <v>5</v>
      </c>
      <c r="B11" s="2">
        <f>K12</f>
        <v>1</v>
      </c>
    </row>
    <row r="12" spans="1:12" ht="15.6" x14ac:dyDescent="0.3">
      <c r="A12" s="1" t="s">
        <v>8</v>
      </c>
      <c r="B12" s="2">
        <v>13.8</v>
      </c>
      <c r="J12" s="8" t="s">
        <v>27</v>
      </c>
      <c r="K12" s="8">
        <v>1</v>
      </c>
    </row>
    <row r="14" spans="1:12" ht="15.6" x14ac:dyDescent="0.3">
      <c r="A14" s="1" t="s">
        <v>9</v>
      </c>
      <c r="B14">
        <f>(B2*B3+(B6*D3-B9*B3)*D7)/(B6*D9)</f>
        <v>0.89116285626711</v>
      </c>
    </row>
    <row r="17" spans="1:6" ht="18" x14ac:dyDescent="0.35">
      <c r="A17" s="5" t="s">
        <v>18</v>
      </c>
      <c r="B17" s="5"/>
      <c r="C17" s="5"/>
      <c r="D17" s="5"/>
      <c r="E17" s="5"/>
      <c r="F17" s="5"/>
    </row>
    <row r="18" spans="1:6" ht="15.6" x14ac:dyDescent="0.3">
      <c r="A18" s="1" t="s">
        <v>1</v>
      </c>
      <c r="B18" s="2">
        <v>48</v>
      </c>
      <c r="D18" s="1" t="s">
        <v>2</v>
      </c>
    </row>
    <row r="19" spans="1:6" ht="15.6" x14ac:dyDescent="0.3">
      <c r="A19" s="1" t="s">
        <v>11</v>
      </c>
      <c r="B19" s="2">
        <f>B20/D19</f>
        <v>14.019212843970895</v>
      </c>
      <c r="D19" s="2">
        <f>COS(RADIANS(B21))</f>
        <v>0.99862953475457383</v>
      </c>
      <c r="F19" s="1" t="s">
        <v>23</v>
      </c>
    </row>
    <row r="20" spans="1:6" ht="15.6" x14ac:dyDescent="0.3">
      <c r="A20" s="1" t="s">
        <v>10</v>
      </c>
      <c r="B20" s="2">
        <v>14</v>
      </c>
      <c r="D20" s="1" t="s">
        <v>17</v>
      </c>
      <c r="F20">
        <f>(B18*B19+(B22*D19-B25*B19)*D23)</f>
        <v>1104.2656778106746</v>
      </c>
    </row>
    <row r="21" spans="1:6" ht="15.6" x14ac:dyDescent="0.3">
      <c r="A21" s="1" t="s">
        <v>7</v>
      </c>
      <c r="B21" s="2">
        <v>3</v>
      </c>
      <c r="D21">
        <f>COS(RADIANS(B21))*COS(RADIANS(B21))</f>
        <v>0.99726094768413653</v>
      </c>
    </row>
    <row r="22" spans="1:6" ht="15.6" x14ac:dyDescent="0.3">
      <c r="A22" s="1" t="s">
        <v>12</v>
      </c>
      <c r="B22" s="2">
        <f>B23*B24*B20</f>
        <v>3234</v>
      </c>
      <c r="D22" s="1" t="s">
        <v>4</v>
      </c>
      <c r="F22" s="1" t="s">
        <v>3</v>
      </c>
    </row>
    <row r="23" spans="1:6" ht="15.6" x14ac:dyDescent="0.3">
      <c r="A23" s="1" t="s">
        <v>13</v>
      </c>
      <c r="B23" s="2">
        <v>21</v>
      </c>
      <c r="D23">
        <f>TAN(RADIANS(B28))</f>
        <v>0.24562355846482567</v>
      </c>
      <c r="F23">
        <f>(B22*D25)</f>
        <v>169.25448248968036</v>
      </c>
    </row>
    <row r="24" spans="1:6" ht="15.6" x14ac:dyDescent="0.3">
      <c r="A24" s="1" t="s">
        <v>14</v>
      </c>
      <c r="B24" s="2">
        <v>11</v>
      </c>
      <c r="D24" s="1" t="s">
        <v>6</v>
      </c>
    </row>
    <row r="25" spans="1:6" ht="15.6" x14ac:dyDescent="0.3">
      <c r="A25" s="1" t="s">
        <v>15</v>
      </c>
      <c r="B25" s="2">
        <f>B26*B27*B24*D21</f>
        <v>105.10232853737882</v>
      </c>
      <c r="D25">
        <f>SIN(RADIANS(B21))</f>
        <v>5.2335956242943835E-2</v>
      </c>
    </row>
    <row r="26" spans="1:6" ht="15.6" x14ac:dyDescent="0.3">
      <c r="A26" s="1" t="s">
        <v>16</v>
      </c>
      <c r="B26" s="2">
        <v>9.5809999999999995</v>
      </c>
    </row>
    <row r="27" spans="1:6" ht="15.6" x14ac:dyDescent="0.3">
      <c r="A27" s="1" t="s">
        <v>5</v>
      </c>
      <c r="B27" s="2">
        <f>K12</f>
        <v>1</v>
      </c>
    </row>
    <row r="28" spans="1:6" ht="15.6" x14ac:dyDescent="0.3">
      <c r="A28" s="1" t="s">
        <v>8</v>
      </c>
      <c r="B28" s="2">
        <v>13.8</v>
      </c>
    </row>
    <row r="30" spans="1:6" ht="15.6" x14ac:dyDescent="0.3">
      <c r="A30" s="1" t="s">
        <v>19</v>
      </c>
      <c r="B30">
        <f>(B18*B19+(B22*D19-B25*B19)*D23)/(B22*D25)</f>
        <v>6.5242920693577666</v>
      </c>
    </row>
    <row r="33" spans="1:6" ht="18" x14ac:dyDescent="0.35">
      <c r="A33" s="5" t="s">
        <v>20</v>
      </c>
      <c r="B33" s="5"/>
      <c r="C33" s="5"/>
      <c r="D33" s="5"/>
      <c r="E33" s="5"/>
      <c r="F33" s="5"/>
    </row>
    <row r="34" spans="1:6" ht="15.6" x14ac:dyDescent="0.3">
      <c r="A34" s="1" t="s">
        <v>1</v>
      </c>
      <c r="B34" s="2">
        <v>48</v>
      </c>
      <c r="D34" s="1" t="s">
        <v>2</v>
      </c>
    </row>
    <row r="35" spans="1:6" ht="15.6" x14ac:dyDescent="0.3">
      <c r="A35" s="1" t="s">
        <v>11</v>
      </c>
      <c r="B35" s="2">
        <f>B36/D35</f>
        <v>21.080216588410295</v>
      </c>
      <c r="D35" s="2">
        <f>COS(RADIANS(B37))</f>
        <v>0.99619469809174555</v>
      </c>
      <c r="F35" s="1" t="s">
        <v>23</v>
      </c>
    </row>
    <row r="36" spans="1:6" ht="15.6" x14ac:dyDescent="0.3">
      <c r="A36" s="1" t="s">
        <v>10</v>
      </c>
      <c r="B36" s="2">
        <v>21</v>
      </c>
      <c r="D36" s="1" t="s">
        <v>17</v>
      </c>
      <c r="F36">
        <f>(B34*B35+(B38*D35-B41*B35)*D39)</f>
        <v>1334.5692230826767</v>
      </c>
    </row>
    <row r="37" spans="1:6" ht="15.6" x14ac:dyDescent="0.3">
      <c r="A37" s="1" t="s">
        <v>7</v>
      </c>
      <c r="B37" s="2">
        <v>5</v>
      </c>
      <c r="D37">
        <f>COS(RADIANS(B37))*COS(RADIANS(B37))</f>
        <v>0.99240387650610407</v>
      </c>
    </row>
    <row r="38" spans="1:6" ht="15.6" x14ac:dyDescent="0.3">
      <c r="A38" s="1" t="s">
        <v>12</v>
      </c>
      <c r="B38" s="2">
        <f>B39*B40*B36</f>
        <v>2425.5</v>
      </c>
      <c r="D38" s="1" t="s">
        <v>4</v>
      </c>
      <c r="F38" s="1" t="s">
        <v>3</v>
      </c>
    </row>
    <row r="39" spans="1:6" ht="15.6" x14ac:dyDescent="0.3">
      <c r="A39" s="1" t="s">
        <v>13</v>
      </c>
      <c r="B39" s="2">
        <v>21</v>
      </c>
      <c r="D39">
        <f>TAN(RADIANS(B44))</f>
        <v>0.24562355846482567</v>
      </c>
      <c r="F39">
        <f>(B38*D41)</f>
        <v>211.39625403444489</v>
      </c>
    </row>
    <row r="40" spans="1:6" ht="15.6" x14ac:dyDescent="0.3">
      <c r="A40" s="1" t="s">
        <v>14</v>
      </c>
      <c r="B40" s="2">
        <v>5.5</v>
      </c>
      <c r="D40" s="1" t="s">
        <v>6</v>
      </c>
    </row>
    <row r="41" spans="1:6" ht="15.6" x14ac:dyDescent="0.3">
      <c r="A41" s="1" t="s">
        <v>15</v>
      </c>
      <c r="B41" s="2">
        <f>B42*B43*B40*D37</f>
        <v>52.295218474427401</v>
      </c>
      <c r="D41">
        <f>SIN(RADIANS(B37))</f>
        <v>8.7155742747658166E-2</v>
      </c>
    </row>
    <row r="42" spans="1:6" ht="15.6" x14ac:dyDescent="0.3">
      <c r="A42" s="1" t="s">
        <v>16</v>
      </c>
      <c r="B42" s="2">
        <v>9.5809999999999995</v>
      </c>
    </row>
    <row r="43" spans="1:6" ht="15.6" x14ac:dyDescent="0.3">
      <c r="A43" s="1" t="s">
        <v>5</v>
      </c>
      <c r="B43" s="2">
        <f>K12</f>
        <v>1</v>
      </c>
    </row>
    <row r="44" spans="1:6" ht="15.6" x14ac:dyDescent="0.3">
      <c r="A44" s="1" t="s">
        <v>8</v>
      </c>
      <c r="B44" s="2">
        <v>13.8</v>
      </c>
    </row>
    <row r="46" spans="1:6" ht="15.6" x14ac:dyDescent="0.3">
      <c r="A46" s="1" t="s">
        <v>21</v>
      </c>
      <c r="B46">
        <f>(B34*B35+(B38*D35-B41*B35)*D39)/(B38*D41)</f>
        <v>6.3131167067190415</v>
      </c>
    </row>
  </sheetData>
  <mergeCells count="10">
    <mergeCell ref="A1:F1"/>
    <mergeCell ref="A17:F17"/>
    <mergeCell ref="A33:F33"/>
    <mergeCell ref="I1:L1"/>
    <mergeCell ref="I2:J2"/>
    <mergeCell ref="K2:L2"/>
    <mergeCell ref="I3:J3"/>
    <mergeCell ref="K3:L3"/>
    <mergeCell ref="I4:J4"/>
    <mergeCell ref="K4:L4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Rotational Slide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Peter, Kevin</dc:creator>
  <cp:lastModifiedBy>Kevin Peter</cp:lastModifiedBy>
  <dcterms:created xsi:type="dcterms:W3CDTF">2024-02-24T16:03:50Z</dcterms:created>
  <dcterms:modified xsi:type="dcterms:W3CDTF">2024-04-04T11:36:44Z</dcterms:modified>
</cp:coreProperties>
</file>