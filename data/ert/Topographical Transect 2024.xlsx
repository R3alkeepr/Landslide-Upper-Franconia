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28800" windowHeight="13905"/>
  </bookViews>
  <sheets>
    <sheet name="Transect Topo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2" l="1"/>
  <c r="F5" i="2" s="1"/>
  <c r="C6" i="2"/>
  <c r="G6" i="2" s="1"/>
  <c r="C7" i="2"/>
  <c r="F7" i="2" s="1"/>
  <c r="C8" i="2"/>
  <c r="G8" i="2" s="1"/>
  <c r="C9" i="2"/>
  <c r="C10" i="2"/>
  <c r="G10" i="2" s="1"/>
  <c r="C11" i="2"/>
  <c r="G11" i="2" s="1"/>
  <c r="C12" i="2"/>
  <c r="G12" i="2" s="1"/>
  <c r="C13" i="2"/>
  <c r="G13" i="2" s="1"/>
  <c r="C14" i="2"/>
  <c r="F14" i="2" s="1"/>
  <c r="C15" i="2"/>
  <c r="F15" i="2" s="1"/>
  <c r="C16" i="2"/>
  <c r="C17" i="2"/>
  <c r="F17" i="2" s="1"/>
  <c r="C18" i="2"/>
  <c r="G18" i="2" s="1"/>
  <c r="C19" i="2"/>
  <c r="F19" i="2" s="1"/>
  <c r="C20" i="2"/>
  <c r="F20" i="2" s="1"/>
  <c r="C21" i="2"/>
  <c r="C22" i="2"/>
  <c r="C23" i="2"/>
  <c r="G23" i="2" s="1"/>
  <c r="C24" i="2"/>
  <c r="F24" i="2" s="1"/>
  <c r="G24" i="2" s="1"/>
  <c r="C25" i="2"/>
  <c r="F25" i="2" s="1"/>
  <c r="C26" i="2"/>
  <c r="F26" i="2" s="1"/>
  <c r="G26" i="2" s="1"/>
  <c r="C4" i="2"/>
  <c r="G4" i="2" s="1"/>
  <c r="N23" i="2"/>
  <c r="N18" i="2"/>
  <c r="N17" i="2"/>
  <c r="N16" i="2"/>
  <c r="N15" i="2"/>
  <c r="N14" i="2"/>
  <c r="N12" i="2"/>
  <c r="N11" i="2"/>
  <c r="N10" i="2"/>
  <c r="N9" i="2"/>
  <c r="N8" i="2"/>
  <c r="N7" i="2"/>
  <c r="N6" i="2"/>
  <c r="N5" i="2"/>
  <c r="N4" i="2"/>
  <c r="G16" i="2"/>
  <c r="F9" i="2"/>
  <c r="F21" i="2"/>
  <c r="G21" i="2" s="1"/>
  <c r="F22" i="2"/>
  <c r="G22" i="2" s="1"/>
  <c r="F23" i="2"/>
  <c r="B24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5" i="2"/>
  <c r="B8" i="2"/>
  <c r="G20" i="2" l="1"/>
  <c r="G17" i="2"/>
  <c r="G19" i="2"/>
  <c r="F13" i="2"/>
  <c r="G5" i="2"/>
  <c r="F6" i="2"/>
  <c r="F12" i="2"/>
  <c r="G25" i="2"/>
  <c r="F4" i="2"/>
  <c r="F8" i="2"/>
  <c r="G14" i="2"/>
  <c r="F16" i="2"/>
  <c r="G15" i="2"/>
  <c r="F11" i="2"/>
  <c r="F10" i="2"/>
  <c r="G9" i="2"/>
  <c r="F18" i="2"/>
  <c r="G7" i="2"/>
  <c r="I26" i="2"/>
  <c r="E26" i="2"/>
  <c r="I25" i="2"/>
  <c r="E25" i="2"/>
  <c r="I24" i="2"/>
  <c r="E24" i="2"/>
  <c r="I23" i="2"/>
  <c r="E23" i="2"/>
  <c r="I22" i="2"/>
  <c r="E22" i="2"/>
  <c r="I21" i="2"/>
  <c r="E21" i="2"/>
  <c r="I20" i="2"/>
  <c r="E20" i="2"/>
  <c r="I19" i="2"/>
  <c r="E19" i="2"/>
  <c r="I18" i="2"/>
  <c r="E18" i="2"/>
  <c r="I17" i="2"/>
  <c r="E17" i="2"/>
  <c r="I16" i="2"/>
  <c r="E16" i="2"/>
  <c r="I15" i="2"/>
  <c r="E15" i="2"/>
  <c r="I14" i="2"/>
  <c r="E14" i="2"/>
  <c r="I13" i="2"/>
  <c r="E13" i="2"/>
  <c r="I12" i="2"/>
  <c r="E12" i="2"/>
  <c r="I11" i="2"/>
  <c r="E11" i="2"/>
  <c r="I10" i="2"/>
  <c r="E10" i="2"/>
  <c r="I9" i="2"/>
  <c r="E9" i="2"/>
  <c r="I8" i="2"/>
  <c r="E8" i="2"/>
  <c r="I7" i="2"/>
  <c r="E7" i="2"/>
  <c r="I6" i="2"/>
  <c r="E6" i="2"/>
  <c r="I5" i="2"/>
  <c r="E5" i="2"/>
  <c r="E4" i="2"/>
  <c r="J5" i="2" l="1"/>
  <c r="J6" i="2" s="1"/>
  <c r="J7" i="2" s="1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</calcChain>
</file>

<file path=xl/sharedStrings.xml><?xml version="1.0" encoding="utf-8"?>
<sst xmlns="http://schemas.openxmlformats.org/spreadsheetml/2006/main" count="9" uniqueCount="9">
  <si>
    <r>
      <t>X</t>
    </r>
    <r>
      <rPr>
        <vertAlign val="subscript"/>
        <sz val="11"/>
        <color theme="1"/>
        <rFont val="Calibri"/>
        <family val="2"/>
        <scheme val="minor"/>
      </rPr>
      <t>i</t>
    </r>
  </si>
  <si>
    <r>
      <t>X</t>
    </r>
    <r>
      <rPr>
        <vertAlign val="subscript"/>
        <sz val="11"/>
        <color theme="1"/>
        <rFont val="Calibri"/>
        <family val="2"/>
        <scheme val="minor"/>
      </rPr>
      <t>j</t>
    </r>
  </si>
  <si>
    <t>x</t>
  </si>
  <si>
    <t>z</t>
  </si>
  <si>
    <t>slope angle</t>
  </si>
  <si>
    <t xml:space="preserve"> distance</t>
  </si>
  <si>
    <t>Topography</t>
  </si>
  <si>
    <t>adjusted slope angle</t>
  </si>
  <si>
    <t>slope adjuster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</si>
</sst>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0.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1" fillId="0" borderId="0" xfId="0" applyFont="1"/>
    <xf numFmtId="166" fontId="0" fillId="0" borderId="0" xfId="0" applyNumberFormat="1"/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"/>
  <sheetViews>
    <sheetView tabSelected="1" workbookViewId="0">
      <selection activeCell="P25" sqref="P25"/>
    </sheetView>
  </sheetViews>
  <sheetFormatPr baseColWidth="10" defaultColWidth="11.42578125" defaultRowHeight="15" x14ac:dyDescent="0.25"/>
  <cols>
    <col min="3" max="3" width="19.42578125" bestFit="1" customWidth="1"/>
    <col min="12" max="12" width="13.5703125" bestFit="1" customWidth="1"/>
  </cols>
  <sheetData>
    <row r="1" spans="1:14" x14ac:dyDescent="0.25">
      <c r="A1" t="s">
        <v>6</v>
      </c>
    </row>
    <row r="3" spans="1:14" ht="18" x14ac:dyDescent="0.35">
      <c r="A3" t="s">
        <v>0</v>
      </c>
      <c r="B3" t="s">
        <v>1</v>
      </c>
      <c r="C3" t="s">
        <v>7</v>
      </c>
      <c r="E3" t="s">
        <v>5</v>
      </c>
      <c r="I3" t="s">
        <v>2</v>
      </c>
      <c r="J3" t="s">
        <v>3</v>
      </c>
      <c r="L3" t="s">
        <v>8</v>
      </c>
      <c r="N3" t="s">
        <v>4</v>
      </c>
    </row>
    <row r="4" spans="1:14" x14ac:dyDescent="0.25">
      <c r="A4">
        <v>0</v>
      </c>
      <c r="B4">
        <v>25</v>
      </c>
      <c r="C4">
        <f>N4*L4</f>
        <v>0</v>
      </c>
      <c r="E4">
        <f>B4-A4</f>
        <v>25</v>
      </c>
      <c r="F4">
        <f>(E4*SIN(RADIANS((90-C4)))/SIN(RADIANS(90)))</f>
        <v>25</v>
      </c>
      <c r="G4" s="1">
        <f>IF(C4&lt;=0,(E4*SIN(RADIANS(C4))/SIN(RADIANS(90))),SQRT(E4^2-2*E4*F4*COS(RADIANS(C4))+F4^2))</f>
        <v>0</v>
      </c>
      <c r="I4">
        <v>0</v>
      </c>
      <c r="J4" s="2">
        <v>426</v>
      </c>
      <c r="K4" s="2"/>
      <c r="L4">
        <v>0.79</v>
      </c>
      <c r="N4">
        <f>0</f>
        <v>0</v>
      </c>
    </row>
    <row r="5" spans="1:14" x14ac:dyDescent="0.25">
      <c r="A5">
        <v>25</v>
      </c>
      <c r="B5">
        <v>50</v>
      </c>
      <c r="C5">
        <f t="shared" ref="C5:C26" si="0">N5*L5</f>
        <v>-23.700000000000003</v>
      </c>
      <c r="E5">
        <f t="shared" ref="E5:E26" si="1">B5-A5</f>
        <v>25</v>
      </c>
      <c r="F5">
        <f t="shared" ref="F5:F26" si="2">(E5*SIN(RADIANS((90-C5)))/SIN(RADIANS(90)))</f>
        <v>22.891564833489028</v>
      </c>
      <c r="G5" s="1">
        <f t="shared" ref="G5:G26" si="3">IF(C5&lt;=0,(E5*SIN(RADIANS(C5))/SIN(RADIANS(90))),SQRT(E5^2-2*E5*F5*COS(RADIANS(C5))+F5^2))</f>
        <v>-10.048694416399005</v>
      </c>
      <c r="I5">
        <f>A5</f>
        <v>25</v>
      </c>
      <c r="J5" s="1">
        <f>J4+G4</f>
        <v>426</v>
      </c>
      <c r="L5">
        <v>0.79</v>
      </c>
      <c r="N5">
        <f>-30</f>
        <v>-30</v>
      </c>
    </row>
    <row r="6" spans="1:14" x14ac:dyDescent="0.25">
      <c r="A6">
        <v>50</v>
      </c>
      <c r="B6">
        <v>65</v>
      </c>
      <c r="C6">
        <f t="shared" si="0"/>
        <v>-7.9</v>
      </c>
      <c r="E6">
        <f t="shared" si="1"/>
        <v>15</v>
      </c>
      <c r="F6">
        <f t="shared" si="2"/>
        <v>14.857641948574631</v>
      </c>
      <c r="G6" s="1">
        <f t="shared" si="3"/>
        <v>-2.0616681905571999</v>
      </c>
      <c r="I6">
        <f t="shared" ref="I6:I26" si="4">A6</f>
        <v>50</v>
      </c>
      <c r="J6" s="1">
        <f t="shared" ref="J6:J26" si="5">J5+G5</f>
        <v>415.95130558360097</v>
      </c>
      <c r="L6">
        <v>0.79</v>
      </c>
      <c r="N6">
        <f>-10</f>
        <v>-10</v>
      </c>
    </row>
    <row r="7" spans="1:14" x14ac:dyDescent="0.25">
      <c r="A7">
        <v>65</v>
      </c>
      <c r="B7">
        <v>85</v>
      </c>
      <c r="C7">
        <f t="shared" si="0"/>
        <v>-23.700000000000003</v>
      </c>
      <c r="E7">
        <f t="shared" si="1"/>
        <v>20</v>
      </c>
      <c r="F7">
        <f t="shared" si="2"/>
        <v>18.313251866791223</v>
      </c>
      <c r="G7" s="1">
        <f t="shared" si="3"/>
        <v>-8.0389555331192035</v>
      </c>
      <c r="I7">
        <f t="shared" si="4"/>
        <v>65</v>
      </c>
      <c r="J7" s="1">
        <f t="shared" si="5"/>
        <v>413.88963739304376</v>
      </c>
      <c r="L7">
        <v>0.79</v>
      </c>
      <c r="N7">
        <f>-30</f>
        <v>-30</v>
      </c>
    </row>
    <row r="8" spans="1:14" x14ac:dyDescent="0.25">
      <c r="A8">
        <v>85</v>
      </c>
      <c r="B8">
        <f>A9</f>
        <v>100</v>
      </c>
      <c r="C8">
        <f t="shared" si="0"/>
        <v>-23.700000000000003</v>
      </c>
      <c r="E8">
        <f t="shared" si="1"/>
        <v>15</v>
      </c>
      <c r="F8">
        <f t="shared" si="2"/>
        <v>13.734938900093416</v>
      </c>
      <c r="G8" s="1">
        <f t="shared" si="3"/>
        <v>-6.0292166498394035</v>
      </c>
      <c r="I8">
        <f t="shared" si="4"/>
        <v>85</v>
      </c>
      <c r="J8" s="1">
        <f t="shared" si="5"/>
        <v>405.85068185992458</v>
      </c>
      <c r="L8">
        <v>0.79</v>
      </c>
      <c r="N8">
        <f>-30</f>
        <v>-30</v>
      </c>
    </row>
    <row r="9" spans="1:14" x14ac:dyDescent="0.25">
      <c r="A9">
        <v>100</v>
      </c>
      <c r="B9">
        <f t="shared" ref="B9:B25" si="6">A10</f>
        <v>115</v>
      </c>
      <c r="C9">
        <f t="shared" si="0"/>
        <v>-23.700000000000003</v>
      </c>
      <c r="E9">
        <f t="shared" si="1"/>
        <v>15</v>
      </c>
      <c r="F9">
        <f t="shared" si="2"/>
        <v>13.734938900093416</v>
      </c>
      <c r="G9" s="1">
        <f t="shared" si="3"/>
        <v>-6.0292166498394035</v>
      </c>
      <c r="I9">
        <f t="shared" si="4"/>
        <v>100</v>
      </c>
      <c r="J9" s="1">
        <f t="shared" si="5"/>
        <v>399.82146521008519</v>
      </c>
      <c r="L9">
        <v>0.79</v>
      </c>
      <c r="N9">
        <f>-30</f>
        <v>-30</v>
      </c>
    </row>
    <row r="10" spans="1:14" x14ac:dyDescent="0.25">
      <c r="A10">
        <v>115</v>
      </c>
      <c r="B10">
        <f t="shared" si="6"/>
        <v>130</v>
      </c>
      <c r="C10">
        <f t="shared" si="0"/>
        <v>-8.6900000000000013</v>
      </c>
      <c r="E10">
        <f t="shared" si="1"/>
        <v>15</v>
      </c>
      <c r="F10">
        <f t="shared" si="2"/>
        <v>14.827804076195287</v>
      </c>
      <c r="G10" s="1">
        <f t="shared" si="3"/>
        <v>-2.2663243982198198</v>
      </c>
      <c r="I10">
        <f t="shared" si="4"/>
        <v>115</v>
      </c>
      <c r="J10" s="1">
        <f t="shared" si="5"/>
        <v>393.79224856024581</v>
      </c>
      <c r="L10">
        <v>0.79</v>
      </c>
      <c r="N10">
        <f>-11</f>
        <v>-11</v>
      </c>
    </row>
    <row r="11" spans="1:14" x14ac:dyDescent="0.25">
      <c r="A11">
        <v>130</v>
      </c>
      <c r="B11">
        <f t="shared" si="6"/>
        <v>140</v>
      </c>
      <c r="C11">
        <f t="shared" si="0"/>
        <v>-9.48</v>
      </c>
      <c r="E11">
        <f t="shared" si="1"/>
        <v>10</v>
      </c>
      <c r="F11">
        <f t="shared" si="2"/>
        <v>9.8634315393100298</v>
      </c>
      <c r="G11" s="1">
        <f t="shared" si="3"/>
        <v>-1.6470331719015738</v>
      </c>
      <c r="I11">
        <f t="shared" si="4"/>
        <v>130</v>
      </c>
      <c r="J11" s="1">
        <f t="shared" si="5"/>
        <v>391.525924162026</v>
      </c>
      <c r="L11">
        <v>0.79</v>
      </c>
      <c r="N11">
        <f>-12</f>
        <v>-12</v>
      </c>
    </row>
    <row r="12" spans="1:14" x14ac:dyDescent="0.25">
      <c r="A12">
        <v>140</v>
      </c>
      <c r="B12">
        <f t="shared" si="6"/>
        <v>155</v>
      </c>
      <c r="C12">
        <f t="shared" si="0"/>
        <v>-25.28</v>
      </c>
      <c r="E12">
        <f t="shared" si="1"/>
        <v>15</v>
      </c>
      <c r="F12">
        <f t="shared" si="2"/>
        <v>13.56347505920848</v>
      </c>
      <c r="G12" s="1">
        <f t="shared" si="3"/>
        <v>-6.405633795201652</v>
      </c>
      <c r="I12">
        <f t="shared" si="4"/>
        <v>140</v>
      </c>
      <c r="J12" s="1">
        <f t="shared" si="5"/>
        <v>389.87889099012443</v>
      </c>
      <c r="L12">
        <v>0.79</v>
      </c>
      <c r="N12">
        <f>-32</f>
        <v>-32</v>
      </c>
    </row>
    <row r="13" spans="1:14" x14ac:dyDescent="0.25">
      <c r="A13">
        <v>155</v>
      </c>
      <c r="B13">
        <f t="shared" si="6"/>
        <v>165</v>
      </c>
      <c r="C13">
        <f t="shared" si="0"/>
        <v>0</v>
      </c>
      <c r="E13">
        <f t="shared" si="1"/>
        <v>10</v>
      </c>
      <c r="F13">
        <f t="shared" si="2"/>
        <v>10</v>
      </c>
      <c r="G13" s="1">
        <f t="shared" si="3"/>
        <v>0</v>
      </c>
      <c r="I13">
        <f t="shared" si="4"/>
        <v>155</v>
      </c>
      <c r="J13" s="1">
        <f t="shared" si="5"/>
        <v>383.47325719492278</v>
      </c>
      <c r="L13">
        <v>0.79</v>
      </c>
      <c r="N13">
        <v>0</v>
      </c>
    </row>
    <row r="14" spans="1:14" x14ac:dyDescent="0.25">
      <c r="A14">
        <v>165</v>
      </c>
      <c r="B14">
        <f t="shared" si="6"/>
        <v>185</v>
      </c>
      <c r="C14">
        <f t="shared" si="0"/>
        <v>-23.700000000000003</v>
      </c>
      <c r="E14">
        <f t="shared" si="1"/>
        <v>20</v>
      </c>
      <c r="F14">
        <f t="shared" si="2"/>
        <v>18.313251866791223</v>
      </c>
      <c r="G14" s="1">
        <f t="shared" si="3"/>
        <v>-8.0389555331192035</v>
      </c>
      <c r="I14">
        <f t="shared" si="4"/>
        <v>165</v>
      </c>
      <c r="J14" s="1">
        <f t="shared" si="5"/>
        <v>383.47325719492278</v>
      </c>
      <c r="L14">
        <v>0.79</v>
      </c>
      <c r="N14">
        <f>-30</f>
        <v>-30</v>
      </c>
    </row>
    <row r="15" spans="1:14" x14ac:dyDescent="0.25">
      <c r="A15">
        <v>185</v>
      </c>
      <c r="B15">
        <f t="shared" si="6"/>
        <v>200</v>
      </c>
      <c r="C15">
        <f t="shared" si="0"/>
        <v>-11.850000000000001</v>
      </c>
      <c r="E15">
        <f t="shared" si="1"/>
        <v>15</v>
      </c>
      <c r="F15">
        <f t="shared" si="2"/>
        <v>14.680328393830317</v>
      </c>
      <c r="G15" s="1">
        <f t="shared" si="3"/>
        <v>-3.0802529521614592</v>
      </c>
      <c r="I15">
        <f t="shared" si="4"/>
        <v>185</v>
      </c>
      <c r="J15" s="1">
        <f t="shared" si="5"/>
        <v>375.4343016618036</v>
      </c>
      <c r="L15">
        <v>0.79</v>
      </c>
      <c r="N15">
        <f>-15</f>
        <v>-15</v>
      </c>
    </row>
    <row r="16" spans="1:14" x14ac:dyDescent="0.25">
      <c r="A16">
        <v>200</v>
      </c>
      <c r="B16">
        <f t="shared" si="6"/>
        <v>235</v>
      </c>
      <c r="C16">
        <f t="shared" si="0"/>
        <v>-11.850000000000001</v>
      </c>
      <c r="E16">
        <f t="shared" si="1"/>
        <v>35</v>
      </c>
      <c r="F16">
        <f t="shared" si="2"/>
        <v>34.254099585604074</v>
      </c>
      <c r="G16" s="1">
        <f t="shared" si="3"/>
        <v>-7.187256888376738</v>
      </c>
      <c r="I16">
        <f t="shared" si="4"/>
        <v>200</v>
      </c>
      <c r="J16" s="1">
        <f t="shared" si="5"/>
        <v>372.35404870964214</v>
      </c>
      <c r="L16">
        <v>0.79</v>
      </c>
      <c r="N16">
        <f>-15</f>
        <v>-15</v>
      </c>
    </row>
    <row r="17" spans="1:14" x14ac:dyDescent="0.25">
      <c r="A17">
        <v>235</v>
      </c>
      <c r="B17">
        <f t="shared" si="6"/>
        <v>250</v>
      </c>
      <c r="C17">
        <f t="shared" si="0"/>
        <v>-10.27</v>
      </c>
      <c r="E17">
        <f t="shared" si="1"/>
        <v>15</v>
      </c>
      <c r="F17">
        <f t="shared" si="2"/>
        <v>14.759677855220122</v>
      </c>
      <c r="G17" s="1">
        <f t="shared" si="3"/>
        <v>-2.6743054444331475</v>
      </c>
      <c r="I17">
        <f t="shared" si="4"/>
        <v>235</v>
      </c>
      <c r="J17" s="1">
        <f t="shared" si="5"/>
        <v>365.16679182126541</v>
      </c>
      <c r="L17">
        <v>0.79</v>
      </c>
      <c r="N17">
        <f>-13</f>
        <v>-13</v>
      </c>
    </row>
    <row r="18" spans="1:14" x14ac:dyDescent="0.25">
      <c r="A18">
        <v>250</v>
      </c>
      <c r="B18">
        <f t="shared" si="6"/>
        <v>285</v>
      </c>
      <c r="C18">
        <f t="shared" si="0"/>
        <v>-7.9</v>
      </c>
      <c r="E18">
        <f t="shared" si="1"/>
        <v>35</v>
      </c>
      <c r="F18">
        <f t="shared" si="2"/>
        <v>34.667831213340811</v>
      </c>
      <c r="G18" s="1">
        <f t="shared" si="3"/>
        <v>-4.8105591113001323</v>
      </c>
      <c r="I18">
        <f t="shared" si="4"/>
        <v>250</v>
      </c>
      <c r="J18" s="1">
        <f t="shared" si="5"/>
        <v>362.49248637683223</v>
      </c>
      <c r="L18">
        <v>0.79</v>
      </c>
      <c r="N18">
        <f>-10</f>
        <v>-10</v>
      </c>
    </row>
    <row r="19" spans="1:14" x14ac:dyDescent="0.25">
      <c r="A19">
        <v>285</v>
      </c>
      <c r="B19">
        <f t="shared" si="6"/>
        <v>300</v>
      </c>
      <c r="C19">
        <f t="shared" si="0"/>
        <v>0</v>
      </c>
      <c r="E19">
        <f t="shared" si="1"/>
        <v>15</v>
      </c>
      <c r="F19">
        <f t="shared" si="2"/>
        <v>15</v>
      </c>
      <c r="G19" s="1">
        <f t="shared" si="3"/>
        <v>0</v>
      </c>
      <c r="I19">
        <f t="shared" si="4"/>
        <v>285</v>
      </c>
      <c r="J19" s="1">
        <f t="shared" si="5"/>
        <v>357.68192726553212</v>
      </c>
      <c r="L19">
        <v>0.79</v>
      </c>
      <c r="N19">
        <v>0</v>
      </c>
    </row>
    <row r="20" spans="1:14" x14ac:dyDescent="0.25">
      <c r="A20">
        <v>300</v>
      </c>
      <c r="B20">
        <f t="shared" si="6"/>
        <v>305</v>
      </c>
      <c r="C20">
        <f t="shared" si="0"/>
        <v>-35.550000000000004</v>
      </c>
      <c r="E20">
        <f t="shared" si="1"/>
        <v>5</v>
      </c>
      <c r="F20">
        <f t="shared" si="2"/>
        <v>4.0680422475039348</v>
      </c>
      <c r="G20" s="1">
        <f t="shared" si="3"/>
        <v>-2.9070659215991528</v>
      </c>
      <c r="I20">
        <f t="shared" si="4"/>
        <v>300</v>
      </c>
      <c r="J20" s="1">
        <f t="shared" si="5"/>
        <v>357.68192726553212</v>
      </c>
      <c r="L20">
        <v>0.79</v>
      </c>
      <c r="N20">
        <v>-45</v>
      </c>
    </row>
    <row r="21" spans="1:14" x14ac:dyDescent="0.25">
      <c r="A21">
        <v>305</v>
      </c>
      <c r="B21">
        <f t="shared" si="6"/>
        <v>310</v>
      </c>
      <c r="C21">
        <f t="shared" si="0"/>
        <v>35.550000000000004</v>
      </c>
      <c r="E21">
        <f t="shared" si="1"/>
        <v>5</v>
      </c>
      <c r="F21">
        <f t="shared" si="2"/>
        <v>4.0680422475039348</v>
      </c>
      <c r="G21" s="1">
        <f t="shared" si="3"/>
        <v>2.9070659215991523</v>
      </c>
      <c r="I21">
        <f t="shared" si="4"/>
        <v>305</v>
      </c>
      <c r="J21" s="1">
        <f t="shared" si="5"/>
        <v>354.77486134393297</v>
      </c>
      <c r="L21">
        <v>0.79</v>
      </c>
      <c r="N21">
        <v>45</v>
      </c>
    </row>
    <row r="22" spans="1:14" x14ac:dyDescent="0.25">
      <c r="A22">
        <v>310</v>
      </c>
      <c r="B22">
        <f t="shared" si="6"/>
        <v>350</v>
      </c>
      <c r="C22">
        <f t="shared" si="0"/>
        <v>1.58</v>
      </c>
      <c r="E22">
        <f t="shared" si="1"/>
        <v>40</v>
      </c>
      <c r="F22">
        <f t="shared" si="2"/>
        <v>39.984792025239678</v>
      </c>
      <c r="G22" s="1">
        <f t="shared" si="3"/>
        <v>1.1029082909877832</v>
      </c>
      <c r="I22">
        <f t="shared" si="4"/>
        <v>310</v>
      </c>
      <c r="J22" s="1">
        <f t="shared" si="5"/>
        <v>357.68192726553212</v>
      </c>
      <c r="L22">
        <v>0.79</v>
      </c>
      <c r="N22">
        <v>2</v>
      </c>
    </row>
    <row r="23" spans="1:14" x14ac:dyDescent="0.25">
      <c r="A23">
        <v>350</v>
      </c>
      <c r="B23">
        <f t="shared" si="6"/>
        <v>355</v>
      </c>
      <c r="C23">
        <f t="shared" si="0"/>
        <v>-15.8</v>
      </c>
      <c r="E23">
        <f t="shared" si="1"/>
        <v>5</v>
      </c>
      <c r="F23">
        <f t="shared" si="2"/>
        <v>4.8110899676464269</v>
      </c>
      <c r="G23" s="1">
        <f t="shared" si="3"/>
        <v>-1.3614012352028717</v>
      </c>
      <c r="I23">
        <f t="shared" si="4"/>
        <v>350</v>
      </c>
      <c r="J23" s="1">
        <f t="shared" si="5"/>
        <v>358.78483555651991</v>
      </c>
      <c r="L23">
        <v>0.79</v>
      </c>
      <c r="N23">
        <f>-20</f>
        <v>-20</v>
      </c>
    </row>
    <row r="24" spans="1:14" x14ac:dyDescent="0.25">
      <c r="A24">
        <v>355</v>
      </c>
      <c r="B24">
        <f>A25</f>
        <v>370</v>
      </c>
      <c r="C24">
        <f t="shared" si="0"/>
        <v>11.850000000000001</v>
      </c>
      <c r="E24">
        <f t="shared" si="1"/>
        <v>15</v>
      </c>
      <c r="F24">
        <f t="shared" si="2"/>
        <v>14.680328393830317</v>
      </c>
      <c r="G24" s="1">
        <f t="shared" si="3"/>
        <v>3.0802529521614517</v>
      </c>
      <c r="I24">
        <f t="shared" si="4"/>
        <v>355</v>
      </c>
      <c r="J24" s="1">
        <f t="shared" si="5"/>
        <v>357.42343432131702</v>
      </c>
      <c r="L24">
        <v>0.79</v>
      </c>
      <c r="N24" s="3">
        <v>15</v>
      </c>
    </row>
    <row r="25" spans="1:14" x14ac:dyDescent="0.25">
      <c r="A25">
        <v>370</v>
      </c>
      <c r="B25">
        <f t="shared" si="6"/>
        <v>375</v>
      </c>
      <c r="C25">
        <f t="shared" si="0"/>
        <v>0</v>
      </c>
      <c r="E25">
        <f t="shared" si="1"/>
        <v>5</v>
      </c>
      <c r="F25">
        <f t="shared" si="2"/>
        <v>5</v>
      </c>
      <c r="G25" s="1">
        <f t="shared" si="3"/>
        <v>0</v>
      </c>
      <c r="I25">
        <f t="shared" si="4"/>
        <v>370</v>
      </c>
      <c r="J25" s="1">
        <f t="shared" si="5"/>
        <v>360.50368727347848</v>
      </c>
      <c r="L25">
        <v>0.79</v>
      </c>
      <c r="N25">
        <v>0</v>
      </c>
    </row>
    <row r="26" spans="1:14" x14ac:dyDescent="0.25">
      <c r="A26">
        <v>375</v>
      </c>
      <c r="B26">
        <v>400</v>
      </c>
      <c r="C26">
        <f t="shared" si="0"/>
        <v>7.9</v>
      </c>
      <c r="E26">
        <f t="shared" si="1"/>
        <v>25</v>
      </c>
      <c r="F26">
        <f t="shared" si="2"/>
        <v>24.762736580957721</v>
      </c>
      <c r="G26" s="1">
        <f t="shared" si="3"/>
        <v>3.4361136509286649</v>
      </c>
      <c r="I26">
        <f t="shared" si="4"/>
        <v>375</v>
      </c>
      <c r="J26" s="1">
        <f t="shared" si="5"/>
        <v>360.50368727347848</v>
      </c>
      <c r="L26">
        <v>0.79</v>
      </c>
      <c r="N26" s="4">
        <v>10</v>
      </c>
    </row>
    <row r="27" spans="1:14" x14ac:dyDescent="0.25">
      <c r="G27" s="1"/>
      <c r="J27" s="1"/>
    </row>
    <row r="28" spans="1:14" x14ac:dyDescent="0.25">
      <c r="G28" s="1"/>
      <c r="J28" s="1"/>
    </row>
    <row r="29" spans="1:14" x14ac:dyDescent="0.25">
      <c r="G29" s="1"/>
      <c r="J29" s="1"/>
    </row>
    <row r="30" spans="1:14" x14ac:dyDescent="0.25">
      <c r="G30" s="1"/>
      <c r="J30" s="1"/>
    </row>
    <row r="31" spans="1:14" x14ac:dyDescent="0.25">
      <c r="G31" s="1"/>
      <c r="J31" s="1"/>
    </row>
    <row r="32" spans="1:14" x14ac:dyDescent="0.25">
      <c r="G32" s="1"/>
      <c r="J32" s="1"/>
    </row>
    <row r="33" spans="7:10" x14ac:dyDescent="0.25">
      <c r="G33" s="1"/>
      <c r="J33" s="1"/>
    </row>
    <row r="34" spans="7:10" x14ac:dyDescent="0.25">
      <c r="G34" s="1"/>
      <c r="J34" s="1"/>
    </row>
    <row r="35" spans="7:10" x14ac:dyDescent="0.25">
      <c r="G35" s="1"/>
      <c r="J35" s="1"/>
    </row>
    <row r="36" spans="7:10" x14ac:dyDescent="0.25">
      <c r="G36" s="1"/>
      <c r="J36" s="1"/>
    </row>
    <row r="37" spans="7:10" x14ac:dyDescent="0.25">
      <c r="G37" s="1"/>
      <c r="J37" s="1"/>
    </row>
    <row r="38" spans="7:10" x14ac:dyDescent="0.25">
      <c r="G38" s="1"/>
      <c r="J38" s="1"/>
    </row>
    <row r="39" spans="7:10" x14ac:dyDescent="0.25">
      <c r="G39" s="1"/>
      <c r="J39" s="1"/>
    </row>
    <row r="40" spans="7:10" x14ac:dyDescent="0.25">
      <c r="G40" s="1"/>
      <c r="J40" s="1"/>
    </row>
    <row r="41" spans="7:10" x14ac:dyDescent="0.25">
      <c r="G41" s="1"/>
      <c r="J41" s="1"/>
    </row>
    <row r="42" spans="7:10" x14ac:dyDescent="0.25">
      <c r="G42" s="1"/>
      <c r="J42" s="1"/>
    </row>
    <row r="43" spans="7:10" x14ac:dyDescent="0.25">
      <c r="G43" s="1"/>
      <c r="J43" s="1"/>
    </row>
    <row r="44" spans="7:10" x14ac:dyDescent="0.25">
      <c r="G44" s="1"/>
      <c r="J44" s="1"/>
    </row>
    <row r="45" spans="7:10" x14ac:dyDescent="0.25">
      <c r="G45" s="1"/>
      <c r="J45" s="1"/>
    </row>
    <row r="46" spans="7:10" x14ac:dyDescent="0.25">
      <c r="G46" s="1"/>
      <c r="J46" s="1"/>
    </row>
    <row r="47" spans="7:10" x14ac:dyDescent="0.25">
      <c r="G47" s="1"/>
      <c r="J47" s="1"/>
    </row>
    <row r="48" spans="7:10" x14ac:dyDescent="0.25">
      <c r="G48" s="1"/>
      <c r="J48" s="1"/>
    </row>
    <row r="49" spans="7:10" x14ac:dyDescent="0.25">
      <c r="G49" s="1"/>
      <c r="J49" s="1"/>
    </row>
    <row r="50" spans="7:10" x14ac:dyDescent="0.25">
      <c r="J50" s="1"/>
    </row>
  </sheetData>
  <pageMargins left="0.7" right="0.7" top="0.78740157499999996" bottom="0.78740157499999996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Transect Topo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Draebing</dc:creator>
  <cp:lastModifiedBy>Kevin Peter</cp:lastModifiedBy>
  <dcterms:created xsi:type="dcterms:W3CDTF">2019-06-25T11:45:41Z</dcterms:created>
  <dcterms:modified xsi:type="dcterms:W3CDTF">2024-02-22T09:55:33Z</dcterms:modified>
</cp:coreProperties>
</file>