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-105" yWindow="-105" windowWidth="23250" windowHeight="12570"/>
  </bookViews>
  <sheets>
    <sheet name="RA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2" l="1"/>
  <c r="J59" i="2"/>
  <c r="I59" i="2"/>
  <c r="H59" i="2"/>
  <c r="G59" i="2"/>
  <c r="F59" i="2"/>
  <c r="E59" i="2"/>
  <c r="D59" i="2"/>
  <c r="C59" i="2"/>
  <c r="B59" i="2"/>
  <c r="J58" i="2"/>
  <c r="I58" i="2"/>
  <c r="H58" i="2"/>
  <c r="G58" i="2"/>
  <c r="F58" i="2"/>
  <c r="E58" i="2"/>
  <c r="D58" i="2"/>
  <c r="C58" i="2"/>
  <c r="B58" i="2"/>
  <c r="J57" i="2"/>
  <c r="I57" i="2"/>
  <c r="H57" i="2"/>
  <c r="G57" i="2"/>
  <c r="F57" i="2"/>
  <c r="E57" i="2"/>
  <c r="D57" i="2"/>
  <c r="C57" i="2"/>
  <c r="B57" i="2"/>
  <c r="J56" i="2"/>
  <c r="I56" i="2"/>
  <c r="H56" i="2"/>
  <c r="G56" i="2"/>
  <c r="F56" i="2"/>
  <c r="E56" i="2"/>
  <c r="D56" i="2"/>
  <c r="C56" i="2"/>
  <c r="B56" i="2"/>
  <c r="J55" i="2"/>
  <c r="I55" i="2"/>
  <c r="H55" i="2"/>
  <c r="G55" i="2"/>
  <c r="F55" i="2"/>
  <c r="E55" i="2"/>
  <c r="D55" i="2"/>
  <c r="C55" i="2"/>
  <c r="B55" i="2"/>
  <c r="B32" i="2"/>
  <c r="J36" i="2"/>
  <c r="I36" i="2"/>
  <c r="H36" i="2"/>
  <c r="G36" i="2"/>
  <c r="F36" i="2"/>
  <c r="E36" i="2"/>
  <c r="D36" i="2"/>
  <c r="C36" i="2"/>
  <c r="B36" i="2"/>
  <c r="J35" i="2"/>
  <c r="I35" i="2"/>
  <c r="H35" i="2"/>
  <c r="G35" i="2"/>
  <c r="F35" i="2"/>
  <c r="E35" i="2"/>
  <c r="D35" i="2"/>
  <c r="C35" i="2"/>
  <c r="B35" i="2"/>
  <c r="B44" i="2" s="1"/>
  <c r="J34" i="2"/>
  <c r="I34" i="2"/>
  <c r="H34" i="2"/>
  <c r="G34" i="2"/>
  <c r="F34" i="2"/>
  <c r="E34" i="2"/>
  <c r="D34" i="2"/>
  <c r="C34" i="2"/>
  <c r="B43" i="2" s="1"/>
  <c r="B34" i="2"/>
  <c r="J33" i="2"/>
  <c r="I33" i="2"/>
  <c r="H33" i="2"/>
  <c r="G33" i="2"/>
  <c r="F33" i="2"/>
  <c r="E33" i="2"/>
  <c r="D33" i="2"/>
  <c r="B42" i="2" s="1"/>
  <c r="C33" i="2"/>
  <c r="B33" i="2"/>
  <c r="J32" i="2"/>
  <c r="I32" i="2"/>
  <c r="H32" i="2"/>
  <c r="G32" i="2"/>
  <c r="F32" i="2"/>
  <c r="E32" i="2"/>
  <c r="D32" i="2"/>
  <c r="C32" i="2"/>
  <c r="B22" i="2"/>
  <c r="B21" i="2"/>
  <c r="B20" i="2"/>
  <c r="B19" i="2"/>
  <c r="B18" i="2"/>
  <c r="B67" i="2" l="1"/>
  <c r="B65" i="2"/>
  <c r="B64" i="2"/>
  <c r="B66" i="2"/>
  <c r="B68" i="2"/>
  <c r="B41" i="2"/>
  <c r="C9" i="2" l="1"/>
  <c r="D9" i="2"/>
  <c r="E9" i="2"/>
  <c r="F9" i="2"/>
  <c r="G9" i="2"/>
  <c r="H9" i="2"/>
  <c r="I9" i="2"/>
  <c r="J9" i="2"/>
  <c r="C10" i="2"/>
  <c r="D10" i="2"/>
  <c r="E10" i="2"/>
  <c r="F10" i="2"/>
  <c r="G10" i="2"/>
  <c r="H10" i="2"/>
  <c r="I10" i="2"/>
  <c r="J10" i="2"/>
  <c r="C11" i="2"/>
  <c r="D11" i="2"/>
  <c r="E11" i="2"/>
  <c r="F11" i="2"/>
  <c r="G11" i="2"/>
  <c r="H11" i="2"/>
  <c r="I11" i="2"/>
  <c r="J11" i="2"/>
  <c r="C12" i="2"/>
  <c r="D12" i="2"/>
  <c r="E12" i="2"/>
  <c r="F12" i="2"/>
  <c r="G12" i="2"/>
  <c r="H12" i="2"/>
  <c r="I12" i="2"/>
  <c r="J12" i="2"/>
  <c r="C13" i="2"/>
  <c r="D13" i="2"/>
  <c r="E13" i="2"/>
  <c r="F13" i="2"/>
  <c r="G13" i="2"/>
  <c r="H13" i="2"/>
  <c r="I13" i="2"/>
  <c r="J13" i="2"/>
  <c r="B13" i="2"/>
  <c r="B12" i="2"/>
  <c r="B11" i="2"/>
  <c r="B10" i="2"/>
  <c r="B9" i="2"/>
</calcChain>
</file>

<file path=xl/sharedStrings.xml><?xml version="1.0" encoding="utf-8"?>
<sst xmlns="http://schemas.openxmlformats.org/spreadsheetml/2006/main" count="48" uniqueCount="18">
  <si>
    <t>0 - 10</t>
  </si>
  <si>
    <t>21 - 30</t>
  </si>
  <si>
    <t>11 - 20</t>
  </si>
  <si>
    <t>31 - 40</t>
  </si>
  <si>
    <t>41 - 50</t>
  </si>
  <si>
    <t>Size of root [mm]</t>
  </si>
  <si>
    <t>depth [cm]</t>
  </si>
  <si>
    <t>A [mm²]</t>
  </si>
  <si>
    <t>RAR [%]</t>
  </si>
  <si>
    <t>Ar 0 - 10 cm [mm²]</t>
  </si>
  <si>
    <t>Ar 11 - 20 cm [mm²]</t>
  </si>
  <si>
    <t>Ar 21 - 30 cm [mm²]</t>
  </si>
  <si>
    <t>Ar 31 - 40 cm [mm²]</t>
  </si>
  <si>
    <t>Ar 41 - 50 cm [mm²]</t>
  </si>
  <si>
    <t>Depth [m]</t>
  </si>
  <si>
    <t>Beech</t>
  </si>
  <si>
    <t>Spruce</t>
  </si>
  <si>
    <t>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</si>
</sst>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49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RAR</a:t>
            </a:r>
            <a:r>
              <a:rPr lang="de-DE" baseline="0"/>
              <a:t> of Beech, Spruce and Pine [%]</a:t>
            </a:r>
            <a:endParaRPr lang="de-DE"/>
          </a:p>
        </c:rich>
      </c:tx>
      <c:layout>
        <c:manualLayout>
          <c:xMode val="edge"/>
          <c:yMode val="edge"/>
          <c:x val="0.30663741555358043"/>
          <c:y val="2.38379022646007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335121364996307"/>
          <c:y val="0.12860743089707644"/>
          <c:w val="0.82617056611961648"/>
          <c:h val="0.64953872720617911"/>
        </c:manualLayout>
      </c:layout>
      <c:scatterChart>
        <c:scatterStyle val="lineMarker"/>
        <c:varyColors val="0"/>
        <c:ser>
          <c:idx val="0"/>
          <c:order val="0"/>
          <c:tx>
            <c:v>Pine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RAR!$B$64:$B$68</c:f>
              <c:numCache>
                <c:formatCode>General</c:formatCode>
                <c:ptCount val="5"/>
                <c:pt idx="0">
                  <c:v>8.168140899333462E-2</c:v>
                </c:pt>
                <c:pt idx="1">
                  <c:v>0.19792033717615695</c:v>
                </c:pt>
                <c:pt idx="2">
                  <c:v>0.20577431881013145</c:v>
                </c:pt>
                <c:pt idx="3">
                  <c:v>6.440264939859075E-2</c:v>
                </c:pt>
                <c:pt idx="4">
                  <c:v>3.6128315516282615E-2</c:v>
                </c:pt>
              </c:numCache>
            </c:numRef>
          </c:xVal>
          <c:yVal>
            <c:numRef>
              <c:f>RAR!$A$64:$A$68</c:f>
              <c:numCache>
                <c:formatCode>General</c:formatCode>
                <c:ptCount val="5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44-4EE9-B7FD-6FFE19501BBB}"/>
            </c:ext>
          </c:extLst>
        </c:ser>
        <c:ser>
          <c:idx val="1"/>
          <c:order val="1"/>
          <c:tx>
            <c:v>Spruce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RAR!$B$41:$B$45</c:f>
              <c:numCache>
                <c:formatCode>General</c:formatCode>
                <c:ptCount val="5"/>
                <c:pt idx="0">
                  <c:v>0.19792033717615695</c:v>
                </c:pt>
                <c:pt idx="1">
                  <c:v>0.10838494654884787</c:v>
                </c:pt>
                <c:pt idx="2">
                  <c:v>1.727875959474386E-2</c:v>
                </c:pt>
                <c:pt idx="3">
                  <c:v>1.5707963267948964E-3</c:v>
                </c:pt>
                <c:pt idx="4">
                  <c:v>0</c:v>
                </c:pt>
              </c:numCache>
            </c:numRef>
          </c:xVal>
          <c:yVal>
            <c:numRef>
              <c:f>RAR!$A$41:$A$45</c:f>
              <c:numCache>
                <c:formatCode>General</c:formatCode>
                <c:ptCount val="5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44-4EE9-B7FD-6FFE19501BBB}"/>
            </c:ext>
          </c:extLst>
        </c:ser>
        <c:ser>
          <c:idx val="2"/>
          <c:order val="2"/>
          <c:tx>
            <c:v>Beech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RAR!$B$18:$B$22</c:f>
              <c:numCache>
                <c:formatCode>General</c:formatCode>
                <c:ptCount val="5"/>
                <c:pt idx="0">
                  <c:v>0.25918139392115791</c:v>
                </c:pt>
                <c:pt idx="1">
                  <c:v>0.17435839227423353</c:v>
                </c:pt>
                <c:pt idx="2">
                  <c:v>0.10524335389525809</c:v>
                </c:pt>
                <c:pt idx="3">
                  <c:v>2.0420352248333655E-2</c:v>
                </c:pt>
                <c:pt idx="4">
                  <c:v>0.15707963267948966</c:v>
                </c:pt>
              </c:numCache>
            </c:numRef>
          </c:xVal>
          <c:yVal>
            <c:numRef>
              <c:f>RAR!$A$18:$A$22</c:f>
              <c:numCache>
                <c:formatCode>General</c:formatCode>
                <c:ptCount val="5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44-4EE9-B7FD-6FFE19501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629408"/>
        <c:axId val="2067316528"/>
      </c:scatterChart>
      <c:valAx>
        <c:axId val="18076294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RAR [%]</a:t>
                </a:r>
              </a:p>
            </c:rich>
          </c:tx>
          <c:layout>
            <c:manualLayout>
              <c:xMode val="edge"/>
              <c:yMode val="edge"/>
              <c:x val="0.49335820303861055"/>
              <c:y val="0.854848760710632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67316528"/>
        <c:crosses val="autoZero"/>
        <c:crossBetween val="midCat"/>
      </c:valAx>
      <c:valAx>
        <c:axId val="206731652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 [m]</a:t>
                </a:r>
              </a:p>
            </c:rich>
          </c:tx>
          <c:layout>
            <c:manualLayout>
              <c:xMode val="edge"/>
              <c:yMode val="edge"/>
              <c:x val="1.6980041644238036E-2"/>
              <c:y val="0.35730012294351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7629408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192043363419001"/>
          <c:y val="0.84679736844575004"/>
          <c:w val="0.29569078110069308"/>
          <c:h val="6.704456936923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358140</xdr:colOff>
      <xdr:row>2</xdr:row>
      <xdr:rowOff>118110</xdr:rowOff>
    </xdr:from>
    <xdr:to>
      <xdr:col>16</xdr:col>
      <xdr:colOff>396240</xdr:colOff>
      <xdr:row>20</xdr:row>
      <xdr:rowOff>22860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E56CE38-C295-6346-222B-2B59BA93A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workbookViewId="0">
      <selection activeCell="O27" sqref="O27"/>
    </sheetView>
  </sheetViews>
  <sheetFormatPr baseColWidth="10" defaultRowHeight="15" x14ac:dyDescent="0.25"/>
  <cols>
    <col min="1" max="1" width="24" bestFit="1" customWidth="1"/>
  </cols>
  <sheetData>
    <row r="1" spans="1:11" x14ac:dyDescent="0.25">
      <c r="A1" s="1" t="s">
        <v>15</v>
      </c>
      <c r="B1" s="8" t="s">
        <v>5</v>
      </c>
      <c r="C1" s="8"/>
      <c r="D1" s="8"/>
      <c r="E1" s="8"/>
      <c r="F1" s="8"/>
      <c r="G1" s="8"/>
      <c r="H1" s="8"/>
      <c r="I1" s="8"/>
      <c r="J1" s="8"/>
    </row>
    <row r="2" spans="1:11" x14ac:dyDescent="0.25">
      <c r="A2" s="2" t="s">
        <v>6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/>
    </row>
    <row r="3" spans="1:11" x14ac:dyDescent="0.25">
      <c r="A3" s="3" t="s">
        <v>0</v>
      </c>
      <c r="B3">
        <v>13</v>
      </c>
      <c r="C3">
        <v>9</v>
      </c>
      <c r="D3">
        <v>4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25">
      <c r="A4" s="4" t="s">
        <v>2</v>
      </c>
      <c r="B4">
        <v>9</v>
      </c>
      <c r="C4">
        <v>8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</row>
    <row r="5" spans="1:11" x14ac:dyDescent="0.25">
      <c r="A5" s="3" t="s">
        <v>1</v>
      </c>
      <c r="B5">
        <v>2</v>
      </c>
      <c r="C5">
        <v>6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</row>
    <row r="6" spans="1:11" x14ac:dyDescent="0.25">
      <c r="A6" s="3" t="s">
        <v>3</v>
      </c>
      <c r="B6">
        <v>5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1" x14ac:dyDescent="0.25">
      <c r="A7" s="3" t="s">
        <v>4</v>
      </c>
      <c r="B7">
        <v>10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</row>
    <row r="9" spans="1:11" x14ac:dyDescent="0.25">
      <c r="A9" s="3" t="s">
        <v>9</v>
      </c>
      <c r="B9">
        <f>(PI()/4)*(B2^2)*B3</f>
        <v>10.210176124166829</v>
      </c>
      <c r="C9">
        <f t="shared" ref="C9:J9" si="0">(PI()/4)*(C2^2)*C3</f>
        <v>28.274333882308138</v>
      </c>
      <c r="D9">
        <f t="shared" si="0"/>
        <v>28.274333882308138</v>
      </c>
      <c r="E9">
        <f t="shared" si="0"/>
        <v>62.831853071795862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1" x14ac:dyDescent="0.25">
      <c r="A10" s="3" t="s">
        <v>10</v>
      </c>
      <c r="B10">
        <f>(PI()/4)*(B2^2)*B4</f>
        <v>7.0685834705770345</v>
      </c>
      <c r="C10">
        <f t="shared" ref="C10:J10" si="1">(PI()/4)*(C2^2)*C4</f>
        <v>25.132741228718345</v>
      </c>
      <c r="D10">
        <f t="shared" si="1"/>
        <v>7.0685834705770345</v>
      </c>
      <c r="E10">
        <f t="shared" si="1"/>
        <v>0</v>
      </c>
      <c r="F10">
        <f t="shared" si="1"/>
        <v>19.634954084936208</v>
      </c>
      <c r="G10">
        <f t="shared" si="1"/>
        <v>28.274333882308138</v>
      </c>
      <c r="H10">
        <f t="shared" si="1"/>
        <v>0</v>
      </c>
      <c r="I10">
        <f t="shared" si="1"/>
        <v>0</v>
      </c>
      <c r="J10">
        <f t="shared" si="1"/>
        <v>0</v>
      </c>
    </row>
    <row r="11" spans="1:11" x14ac:dyDescent="0.25">
      <c r="A11" s="3" t="s">
        <v>11</v>
      </c>
      <c r="B11">
        <f>(PI()/4)*(B2^2)*B5</f>
        <v>1.5707963267948966</v>
      </c>
      <c r="C11">
        <f t="shared" ref="C11:J11" si="2">(PI()/4)*(C2^2)*C5</f>
        <v>18.849555921538759</v>
      </c>
      <c r="D11">
        <f t="shared" si="2"/>
        <v>0</v>
      </c>
      <c r="E11">
        <f t="shared" si="2"/>
        <v>12.566370614359172</v>
      </c>
      <c r="F11">
        <f t="shared" si="2"/>
        <v>19.634954084936208</v>
      </c>
      <c r="G11">
        <f t="shared" si="2"/>
        <v>0</v>
      </c>
      <c r="H11">
        <f t="shared" si="2"/>
        <v>0</v>
      </c>
      <c r="I11">
        <f t="shared" si="2"/>
        <v>0</v>
      </c>
      <c r="J11">
        <f t="shared" si="2"/>
        <v>0</v>
      </c>
    </row>
    <row r="12" spans="1:11" x14ac:dyDescent="0.25">
      <c r="A12" s="3" t="s">
        <v>12</v>
      </c>
      <c r="B12">
        <f>(PI()/4)*(B2^2)*B6</f>
        <v>3.9269908169872414</v>
      </c>
      <c r="C12">
        <f t="shared" ref="C12:J12" si="3">(PI()/4)*(C2^2)*C6</f>
        <v>6.2831853071795862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</row>
    <row r="13" spans="1:11" x14ac:dyDescent="0.25">
      <c r="A13" s="3" t="s">
        <v>13</v>
      </c>
      <c r="B13">
        <f>(PI()/4)*(B2^2)*B7</f>
        <v>7.8539816339744828</v>
      </c>
      <c r="C13">
        <f t="shared" ref="C13:J13" si="4">(PI()/4)*(C2^2)*C7</f>
        <v>12.566370614359172</v>
      </c>
      <c r="D13">
        <f t="shared" si="4"/>
        <v>0</v>
      </c>
      <c r="E13">
        <f t="shared" si="4"/>
        <v>0</v>
      </c>
      <c r="F13">
        <f t="shared" si="4"/>
        <v>19.634954084936208</v>
      </c>
      <c r="G13">
        <f t="shared" si="4"/>
        <v>0</v>
      </c>
      <c r="H13">
        <f t="shared" si="4"/>
        <v>38.484510006474963</v>
      </c>
      <c r="I13">
        <f t="shared" si="4"/>
        <v>0</v>
      </c>
      <c r="J13">
        <f t="shared" si="4"/>
        <v>0</v>
      </c>
    </row>
    <row r="15" spans="1:11" x14ac:dyDescent="0.25">
      <c r="A15" s="3" t="s">
        <v>7</v>
      </c>
      <c r="B15">
        <v>50000</v>
      </c>
      <c r="C15">
        <v>50000</v>
      </c>
      <c r="D15">
        <v>50000</v>
      </c>
      <c r="E15">
        <v>50000</v>
      </c>
      <c r="F15">
        <v>50000</v>
      </c>
      <c r="G15">
        <v>50000</v>
      </c>
      <c r="H15">
        <v>50000</v>
      </c>
      <c r="I15">
        <v>50000</v>
      </c>
      <c r="J15">
        <v>50000</v>
      </c>
    </row>
    <row r="17" spans="1:10" x14ac:dyDescent="0.25">
      <c r="A17" s="3" t="s">
        <v>14</v>
      </c>
      <c r="B17" s="3" t="s">
        <v>8</v>
      </c>
    </row>
    <row r="18" spans="1:10" x14ac:dyDescent="0.25">
      <c r="A18" s="5">
        <v>0.05</v>
      </c>
      <c r="B18">
        <f>(SUM(B9:J9)/B15)*100</f>
        <v>0.25918139392115791</v>
      </c>
    </row>
    <row r="19" spans="1:10" x14ac:dyDescent="0.25">
      <c r="A19" s="5">
        <v>0.15</v>
      </c>
      <c r="B19">
        <f>(SUM(B10:J10)/B15)*100</f>
        <v>0.17435839227423353</v>
      </c>
    </row>
    <row r="20" spans="1:10" x14ac:dyDescent="0.25">
      <c r="A20" s="5">
        <v>0.25</v>
      </c>
      <c r="B20">
        <f>(SUM(B11:J11)/B15)*100</f>
        <v>0.10524335389525809</v>
      </c>
    </row>
    <row r="21" spans="1:10" x14ac:dyDescent="0.25">
      <c r="A21" s="5">
        <v>0.35</v>
      </c>
      <c r="B21">
        <f>(SUM(B12:J12)/B15)*100</f>
        <v>2.0420352248333655E-2</v>
      </c>
    </row>
    <row r="22" spans="1:10" x14ac:dyDescent="0.25">
      <c r="A22" s="5">
        <v>0.45</v>
      </c>
      <c r="B22">
        <f>(SUM(B13:J13)/B15)*100</f>
        <v>0.15707963267948966</v>
      </c>
    </row>
    <row r="24" spans="1:10" x14ac:dyDescent="0.25">
      <c r="A24" s="1" t="s">
        <v>16</v>
      </c>
      <c r="B24" s="8" t="s">
        <v>5</v>
      </c>
      <c r="C24" s="8"/>
      <c r="D24" s="8"/>
      <c r="E24" s="8"/>
      <c r="F24" s="8"/>
      <c r="G24" s="8"/>
      <c r="H24" s="8"/>
      <c r="I24" s="8"/>
      <c r="J24" s="8"/>
    </row>
    <row r="25" spans="1:10" x14ac:dyDescent="0.25">
      <c r="A25" s="2" t="s">
        <v>6</v>
      </c>
      <c r="B25" s="1">
        <v>1</v>
      </c>
      <c r="C25" s="1">
        <v>2</v>
      </c>
      <c r="D25" s="1">
        <v>3</v>
      </c>
      <c r="E25" s="1">
        <v>4</v>
      </c>
      <c r="F25" s="1">
        <v>5</v>
      </c>
      <c r="G25" s="1">
        <v>6</v>
      </c>
      <c r="H25" s="1">
        <v>7</v>
      </c>
      <c r="I25" s="1">
        <v>8</v>
      </c>
      <c r="J25" s="1">
        <v>9</v>
      </c>
    </row>
    <row r="26" spans="1:10" x14ac:dyDescent="0.25">
      <c r="A26" s="3" t="s">
        <v>0</v>
      </c>
      <c r="B26" s="6">
        <v>15</v>
      </c>
      <c r="C26" s="6">
        <v>1</v>
      </c>
      <c r="D26" s="6">
        <v>1</v>
      </c>
      <c r="E26" s="6">
        <v>0</v>
      </c>
      <c r="F26" s="6">
        <v>0</v>
      </c>
      <c r="G26" s="6">
        <v>0</v>
      </c>
      <c r="H26" s="6">
        <v>2</v>
      </c>
      <c r="I26" s="6">
        <v>0</v>
      </c>
      <c r="J26" s="6">
        <v>0</v>
      </c>
    </row>
    <row r="27" spans="1:10" x14ac:dyDescent="0.25">
      <c r="A27" s="4" t="s">
        <v>2</v>
      </c>
      <c r="B27" s="6">
        <v>2</v>
      </c>
      <c r="C27" s="6">
        <v>2</v>
      </c>
      <c r="D27" s="6">
        <v>2</v>
      </c>
      <c r="E27" s="6">
        <v>1</v>
      </c>
      <c r="F27" s="6">
        <v>1</v>
      </c>
      <c r="G27" s="6">
        <v>0</v>
      </c>
      <c r="H27" s="6">
        <v>0</v>
      </c>
      <c r="I27" s="6">
        <v>0</v>
      </c>
      <c r="J27" s="6">
        <v>0</v>
      </c>
    </row>
    <row r="28" spans="1:10" x14ac:dyDescent="0.25">
      <c r="A28" s="3" t="s">
        <v>1</v>
      </c>
      <c r="B28" s="6">
        <v>2</v>
      </c>
      <c r="C28" s="6">
        <v>0</v>
      </c>
      <c r="D28" s="6">
        <v>1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5">
      <c r="A29" s="3" t="s">
        <v>3</v>
      </c>
      <c r="B29" s="6">
        <v>1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</row>
    <row r="30" spans="1:10" x14ac:dyDescent="0.25">
      <c r="A30" s="3" t="s">
        <v>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</row>
    <row r="32" spans="1:10" x14ac:dyDescent="0.25">
      <c r="A32" s="3" t="s">
        <v>9</v>
      </c>
      <c r="B32">
        <f>(PI()/4)*(B25^2)*B26</f>
        <v>11.780972450961723</v>
      </c>
      <c r="C32">
        <f t="shared" ref="C32:J32" si="5">(PI()/4)*(C25^2)*C26</f>
        <v>3.1415926535897931</v>
      </c>
      <c r="D32">
        <f t="shared" si="5"/>
        <v>7.0685834705770345</v>
      </c>
      <c r="E32">
        <f t="shared" si="5"/>
        <v>0</v>
      </c>
      <c r="F32">
        <f t="shared" si="5"/>
        <v>0</v>
      </c>
      <c r="G32">
        <f t="shared" si="5"/>
        <v>0</v>
      </c>
      <c r="H32">
        <f t="shared" si="5"/>
        <v>76.969020012949926</v>
      </c>
      <c r="I32">
        <f t="shared" si="5"/>
        <v>0</v>
      </c>
      <c r="J32">
        <f t="shared" si="5"/>
        <v>0</v>
      </c>
    </row>
    <row r="33" spans="1:10" x14ac:dyDescent="0.25">
      <c r="A33" s="3" t="s">
        <v>10</v>
      </c>
      <c r="B33">
        <f>(PI()/4)*(B25^2)*B27</f>
        <v>1.5707963267948966</v>
      </c>
      <c r="C33">
        <f t="shared" ref="C33:J33" si="6">(PI()/4)*(C25^2)*C27</f>
        <v>6.2831853071795862</v>
      </c>
      <c r="D33">
        <f t="shared" si="6"/>
        <v>14.137166941154069</v>
      </c>
      <c r="E33">
        <f t="shared" si="6"/>
        <v>12.566370614359172</v>
      </c>
      <c r="F33">
        <f t="shared" si="6"/>
        <v>19.634954084936208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x14ac:dyDescent="0.25">
      <c r="A34" s="3" t="s">
        <v>11</v>
      </c>
      <c r="B34">
        <f>(PI()/4)*(B25^2)*B28</f>
        <v>1.5707963267948966</v>
      </c>
      <c r="C34">
        <f t="shared" ref="C34:J34" si="7">(PI()/4)*(C25^2)*C28</f>
        <v>0</v>
      </c>
      <c r="D34">
        <f t="shared" si="7"/>
        <v>7.0685834705770345</v>
      </c>
      <c r="E34">
        <f t="shared" si="7"/>
        <v>0</v>
      </c>
      <c r="F34">
        <f t="shared" si="7"/>
        <v>0</v>
      </c>
      <c r="G34">
        <f t="shared" si="7"/>
        <v>0</v>
      </c>
      <c r="H34">
        <f t="shared" si="7"/>
        <v>0</v>
      </c>
      <c r="I34">
        <f t="shared" si="7"/>
        <v>0</v>
      </c>
      <c r="J34">
        <f t="shared" si="7"/>
        <v>0</v>
      </c>
    </row>
    <row r="35" spans="1:10" x14ac:dyDescent="0.25">
      <c r="A35" s="3" t="s">
        <v>12</v>
      </c>
      <c r="B35">
        <f>(PI()/4)*(B25^2)*B29</f>
        <v>0.78539816339744828</v>
      </c>
      <c r="C35">
        <f t="shared" ref="C35:J35" si="8">(PI()/4)*(C25^2)*C29</f>
        <v>0</v>
      </c>
      <c r="D35">
        <f t="shared" si="8"/>
        <v>0</v>
      </c>
      <c r="E35">
        <f t="shared" si="8"/>
        <v>0</v>
      </c>
      <c r="F35">
        <f t="shared" si="8"/>
        <v>0</v>
      </c>
      <c r="G35">
        <f t="shared" si="8"/>
        <v>0</v>
      </c>
      <c r="H35">
        <f t="shared" si="8"/>
        <v>0</v>
      </c>
      <c r="I35">
        <f t="shared" si="8"/>
        <v>0</v>
      </c>
      <c r="J35">
        <f t="shared" si="8"/>
        <v>0</v>
      </c>
    </row>
    <row r="36" spans="1:10" x14ac:dyDescent="0.25">
      <c r="A36" s="3" t="s">
        <v>13</v>
      </c>
      <c r="B36">
        <f>(PI()/4)*(B25^2)*B30</f>
        <v>0</v>
      </c>
      <c r="C36">
        <f t="shared" ref="C36:J36" si="9">(PI()/4)*(C25^2)*C30</f>
        <v>0</v>
      </c>
      <c r="D36">
        <f t="shared" si="9"/>
        <v>0</v>
      </c>
      <c r="E36">
        <f t="shared" si="9"/>
        <v>0</v>
      </c>
      <c r="F36">
        <f t="shared" si="9"/>
        <v>0</v>
      </c>
      <c r="G36">
        <f t="shared" si="9"/>
        <v>0</v>
      </c>
      <c r="H36">
        <f t="shared" si="9"/>
        <v>0</v>
      </c>
      <c r="I36">
        <f t="shared" si="9"/>
        <v>0</v>
      </c>
      <c r="J36">
        <f t="shared" si="9"/>
        <v>0</v>
      </c>
    </row>
    <row r="38" spans="1:10" x14ac:dyDescent="0.25">
      <c r="A38" s="3" t="s">
        <v>7</v>
      </c>
      <c r="B38">
        <v>50000</v>
      </c>
      <c r="C38">
        <v>50000</v>
      </c>
      <c r="D38">
        <v>50000</v>
      </c>
      <c r="E38">
        <v>50000</v>
      </c>
      <c r="F38">
        <v>50000</v>
      </c>
      <c r="G38">
        <v>50000</v>
      </c>
      <c r="H38">
        <v>50000</v>
      </c>
      <c r="I38">
        <v>50000</v>
      </c>
      <c r="J38">
        <v>50000</v>
      </c>
    </row>
    <row r="40" spans="1:10" x14ac:dyDescent="0.25">
      <c r="A40" s="3" t="s">
        <v>14</v>
      </c>
      <c r="B40" s="3" t="s">
        <v>8</v>
      </c>
    </row>
    <row r="41" spans="1:10" x14ac:dyDescent="0.25">
      <c r="A41" s="5">
        <v>0.05</v>
      </c>
      <c r="B41">
        <f>(SUM(B32:J32)/B38)*100</f>
        <v>0.19792033717615695</v>
      </c>
    </row>
    <row r="42" spans="1:10" x14ac:dyDescent="0.25">
      <c r="A42" s="5">
        <v>0.15</v>
      </c>
      <c r="B42">
        <f>(SUM(B33:J33)/B38)*100</f>
        <v>0.10838494654884787</v>
      </c>
    </row>
    <row r="43" spans="1:10" x14ac:dyDescent="0.25">
      <c r="A43" s="5">
        <v>0.25</v>
      </c>
      <c r="B43">
        <f>(SUM(B34:J34)/B38)*100</f>
        <v>1.727875959474386E-2</v>
      </c>
    </row>
    <row r="44" spans="1:10" x14ac:dyDescent="0.25">
      <c r="A44" s="5">
        <v>0.35</v>
      </c>
      <c r="B44">
        <f>(SUM(B35:J35)/B38)*100</f>
        <v>1.5707963267948964E-3</v>
      </c>
    </row>
    <row r="45" spans="1:10" x14ac:dyDescent="0.25">
      <c r="A45" s="5">
        <v>0.45</v>
      </c>
      <c r="B45">
        <f>(SUM(B36:J36)/B38)*100</f>
        <v>0</v>
      </c>
    </row>
    <row r="47" spans="1:10" x14ac:dyDescent="0.25">
      <c r="A47" s="1" t="s">
        <v>17</v>
      </c>
      <c r="B47" s="8" t="s">
        <v>5</v>
      </c>
      <c r="C47" s="8"/>
      <c r="D47" s="8"/>
      <c r="E47" s="8"/>
      <c r="F47" s="8"/>
      <c r="G47" s="8"/>
      <c r="H47" s="8"/>
      <c r="I47" s="8"/>
      <c r="J47" s="8"/>
    </row>
    <row r="48" spans="1:10" x14ac:dyDescent="0.25">
      <c r="A48" s="2" t="s">
        <v>6</v>
      </c>
      <c r="B48" s="1">
        <v>1</v>
      </c>
      <c r="C48" s="1">
        <v>2</v>
      </c>
      <c r="D48" s="1">
        <v>3</v>
      </c>
      <c r="E48" s="1">
        <v>4</v>
      </c>
      <c r="F48" s="1">
        <v>5</v>
      </c>
      <c r="G48" s="1">
        <v>6</v>
      </c>
      <c r="H48" s="1">
        <v>7</v>
      </c>
      <c r="I48" s="1">
        <v>8</v>
      </c>
      <c r="J48" s="1">
        <v>9</v>
      </c>
    </row>
    <row r="49" spans="1:10" x14ac:dyDescent="0.25">
      <c r="A49" s="3" t="s">
        <v>0</v>
      </c>
      <c r="B49" s="7">
        <v>3</v>
      </c>
      <c r="C49" s="7">
        <v>1</v>
      </c>
      <c r="D49" s="7">
        <v>1</v>
      </c>
      <c r="E49" s="7">
        <v>0</v>
      </c>
      <c r="F49" s="7">
        <v>0</v>
      </c>
      <c r="G49" s="7">
        <v>1</v>
      </c>
      <c r="H49" s="6">
        <v>0</v>
      </c>
      <c r="I49" s="6">
        <v>0</v>
      </c>
      <c r="J49" s="6">
        <v>0</v>
      </c>
    </row>
    <row r="50" spans="1:10" x14ac:dyDescent="0.25">
      <c r="A50" s="4" t="s">
        <v>2</v>
      </c>
      <c r="B50" s="7">
        <v>10</v>
      </c>
      <c r="C50" s="7">
        <v>7</v>
      </c>
      <c r="D50" s="7">
        <v>3</v>
      </c>
      <c r="E50" s="7">
        <v>0</v>
      </c>
      <c r="F50" s="7">
        <v>1</v>
      </c>
      <c r="G50" s="7">
        <v>1</v>
      </c>
      <c r="H50" s="6">
        <v>0</v>
      </c>
      <c r="I50" s="6">
        <v>0</v>
      </c>
      <c r="J50" s="6">
        <v>0</v>
      </c>
    </row>
    <row r="51" spans="1:10" x14ac:dyDescent="0.25">
      <c r="A51" s="3" t="s">
        <v>1</v>
      </c>
      <c r="B51" s="7">
        <v>16</v>
      </c>
      <c r="C51" s="7">
        <v>6</v>
      </c>
      <c r="D51" s="7">
        <v>0</v>
      </c>
      <c r="E51" s="7">
        <v>1</v>
      </c>
      <c r="F51" s="7">
        <v>3</v>
      </c>
      <c r="G51" s="7">
        <v>0</v>
      </c>
      <c r="H51" s="6">
        <v>0</v>
      </c>
      <c r="I51" s="6">
        <v>0</v>
      </c>
      <c r="J51" s="6">
        <v>0</v>
      </c>
    </row>
    <row r="52" spans="1:10" x14ac:dyDescent="0.25">
      <c r="A52" s="3" t="s">
        <v>3</v>
      </c>
      <c r="B52" s="7">
        <v>7</v>
      </c>
      <c r="C52" s="7">
        <v>4</v>
      </c>
      <c r="D52" s="7">
        <v>2</v>
      </c>
      <c r="E52" s="7">
        <v>0</v>
      </c>
      <c r="F52" s="7">
        <v>0</v>
      </c>
      <c r="G52" s="7">
        <v>0</v>
      </c>
      <c r="H52" s="6">
        <v>0</v>
      </c>
      <c r="I52" s="6">
        <v>0</v>
      </c>
      <c r="J52" s="6">
        <v>0</v>
      </c>
    </row>
    <row r="53" spans="1:10" x14ac:dyDescent="0.25">
      <c r="A53" s="3" t="s">
        <v>4</v>
      </c>
      <c r="B53" s="7">
        <v>10</v>
      </c>
      <c r="C53" s="7">
        <v>1</v>
      </c>
      <c r="D53" s="7">
        <v>1</v>
      </c>
      <c r="E53" s="7">
        <v>0</v>
      </c>
      <c r="F53" s="7">
        <v>0</v>
      </c>
      <c r="G53" s="7">
        <v>0</v>
      </c>
      <c r="H53" s="6">
        <v>0</v>
      </c>
      <c r="I53" s="6">
        <v>0</v>
      </c>
      <c r="J53" s="6">
        <v>0</v>
      </c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3" t="s">
        <v>9</v>
      </c>
      <c r="B55" s="6">
        <f>(PI()/4)*(B48^2)*B49</f>
        <v>2.3561944901923448</v>
      </c>
      <c r="C55" s="6">
        <f t="shared" ref="C55:J55" si="10">(PI()/4)*(C48^2)*C49</f>
        <v>3.1415926535897931</v>
      </c>
      <c r="D55" s="6">
        <f t="shared" si="10"/>
        <v>7.0685834705770345</v>
      </c>
      <c r="E55" s="6">
        <f t="shared" si="10"/>
        <v>0</v>
      </c>
      <c r="F55" s="6">
        <f t="shared" si="10"/>
        <v>0</v>
      </c>
      <c r="G55" s="6">
        <f t="shared" si="10"/>
        <v>28.274333882308138</v>
      </c>
      <c r="H55" s="6">
        <f t="shared" si="10"/>
        <v>0</v>
      </c>
      <c r="I55" s="6">
        <f t="shared" si="10"/>
        <v>0</v>
      </c>
      <c r="J55" s="6">
        <f t="shared" si="10"/>
        <v>0</v>
      </c>
    </row>
    <row r="56" spans="1:10" x14ac:dyDescent="0.25">
      <c r="A56" s="3" t="s">
        <v>10</v>
      </c>
      <c r="B56" s="6">
        <f>(PI()/4)*(B48^2)*B50</f>
        <v>7.8539816339744828</v>
      </c>
      <c r="C56" s="6">
        <f t="shared" ref="C56:J56" si="11">(PI()/4)*(C48^2)*C50</f>
        <v>21.991148575128552</v>
      </c>
      <c r="D56" s="6">
        <f t="shared" si="11"/>
        <v>21.205750411731103</v>
      </c>
      <c r="E56" s="6">
        <f t="shared" si="11"/>
        <v>0</v>
      </c>
      <c r="F56" s="6">
        <f t="shared" si="11"/>
        <v>19.634954084936208</v>
      </c>
      <c r="G56" s="6">
        <f t="shared" si="11"/>
        <v>28.274333882308138</v>
      </c>
      <c r="H56" s="6">
        <f t="shared" si="11"/>
        <v>0</v>
      </c>
      <c r="I56" s="6">
        <f t="shared" si="11"/>
        <v>0</v>
      </c>
      <c r="J56" s="6">
        <f t="shared" si="11"/>
        <v>0</v>
      </c>
    </row>
    <row r="57" spans="1:10" x14ac:dyDescent="0.25">
      <c r="A57" s="3" t="s">
        <v>11</v>
      </c>
      <c r="B57" s="6">
        <f>(PI()/4)*(B48^2)*B51</f>
        <v>12.566370614359172</v>
      </c>
      <c r="C57" s="6">
        <f t="shared" ref="C57:J57" si="12">(PI()/4)*(C48^2)*C51</f>
        <v>18.849555921538759</v>
      </c>
      <c r="D57" s="6">
        <f t="shared" si="12"/>
        <v>0</v>
      </c>
      <c r="E57" s="6">
        <f t="shared" si="12"/>
        <v>12.566370614359172</v>
      </c>
      <c r="F57" s="6">
        <f t="shared" si="12"/>
        <v>58.90486225480862</v>
      </c>
      <c r="G57" s="6">
        <f t="shared" si="12"/>
        <v>0</v>
      </c>
      <c r="H57" s="6">
        <f t="shared" si="12"/>
        <v>0</v>
      </c>
      <c r="I57" s="6">
        <f t="shared" si="12"/>
        <v>0</v>
      </c>
      <c r="J57" s="6">
        <f t="shared" si="12"/>
        <v>0</v>
      </c>
    </row>
    <row r="58" spans="1:10" x14ac:dyDescent="0.25">
      <c r="A58" s="3" t="s">
        <v>12</v>
      </c>
      <c r="B58" s="6">
        <f>(PI()/4)*(B48^2)*B52</f>
        <v>5.497787143782138</v>
      </c>
      <c r="C58" s="6">
        <f t="shared" ref="C58:J58" si="13">(PI()/4)*(C48^2)*C52</f>
        <v>12.566370614359172</v>
      </c>
      <c r="D58" s="6">
        <f t="shared" si="13"/>
        <v>14.137166941154069</v>
      </c>
      <c r="E58" s="6">
        <f t="shared" si="13"/>
        <v>0</v>
      </c>
      <c r="F58" s="6">
        <f t="shared" si="13"/>
        <v>0</v>
      </c>
      <c r="G58" s="6">
        <f t="shared" si="13"/>
        <v>0</v>
      </c>
      <c r="H58" s="6">
        <f t="shared" si="13"/>
        <v>0</v>
      </c>
      <c r="I58" s="6">
        <f t="shared" si="13"/>
        <v>0</v>
      </c>
      <c r="J58" s="6">
        <f t="shared" si="13"/>
        <v>0</v>
      </c>
    </row>
    <row r="59" spans="1:10" x14ac:dyDescent="0.25">
      <c r="A59" s="3" t="s">
        <v>13</v>
      </c>
      <c r="B59" s="6">
        <f>(PI()/4)*(B48^2)*B53</f>
        <v>7.8539816339744828</v>
      </c>
      <c r="C59" s="6">
        <f t="shared" ref="C59:J59" si="14">(PI()/4)*(C48^2)*C53</f>
        <v>3.1415926535897931</v>
      </c>
      <c r="D59" s="6">
        <f t="shared" si="14"/>
        <v>7.0685834705770345</v>
      </c>
      <c r="E59" s="6">
        <f t="shared" si="14"/>
        <v>0</v>
      </c>
      <c r="F59" s="6">
        <f t="shared" si="14"/>
        <v>0</v>
      </c>
      <c r="G59" s="6">
        <f t="shared" si="14"/>
        <v>0</v>
      </c>
      <c r="H59" s="6">
        <f t="shared" si="14"/>
        <v>0</v>
      </c>
      <c r="I59" s="6">
        <f t="shared" si="14"/>
        <v>0</v>
      </c>
      <c r="J59" s="6">
        <f t="shared" si="14"/>
        <v>0</v>
      </c>
    </row>
    <row r="60" spans="1:1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5">
      <c r="A61" s="3" t="s">
        <v>7</v>
      </c>
      <c r="B61" s="6">
        <v>50000</v>
      </c>
      <c r="C61" s="6">
        <v>50000</v>
      </c>
      <c r="D61" s="6">
        <v>50000</v>
      </c>
      <c r="E61" s="6">
        <v>50000</v>
      </c>
      <c r="F61" s="6">
        <v>50000</v>
      </c>
      <c r="G61" s="6">
        <v>50000</v>
      </c>
      <c r="H61" s="6">
        <v>50000</v>
      </c>
      <c r="I61" s="6">
        <v>50000</v>
      </c>
      <c r="J61" s="6">
        <v>50000</v>
      </c>
    </row>
    <row r="62" spans="1:1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3" t="s">
        <v>14</v>
      </c>
      <c r="B63" s="3" t="s">
        <v>8</v>
      </c>
      <c r="C63" s="6"/>
      <c r="D63" s="6"/>
      <c r="E63" s="6"/>
      <c r="F63" s="6"/>
      <c r="G63" s="6"/>
      <c r="H63" s="6"/>
      <c r="I63" s="6"/>
      <c r="J63" s="6"/>
    </row>
    <row r="64" spans="1:10" x14ac:dyDescent="0.25">
      <c r="A64" s="5">
        <v>0.05</v>
      </c>
      <c r="B64" s="6">
        <f>(SUM(B55:J55)/B61)*100</f>
        <v>8.168140899333462E-2</v>
      </c>
      <c r="C64" s="6"/>
      <c r="D64" s="6"/>
      <c r="E64" s="6"/>
      <c r="F64" s="6"/>
      <c r="G64" s="6"/>
      <c r="H64" s="6"/>
      <c r="I64" s="6"/>
      <c r="J64" s="6"/>
    </row>
    <row r="65" spans="1:10" x14ac:dyDescent="0.25">
      <c r="A65" s="5">
        <v>0.15</v>
      </c>
      <c r="B65" s="6">
        <f>(SUM(B56:J56)/B61)*100</f>
        <v>0.19792033717615695</v>
      </c>
      <c r="C65" s="6"/>
      <c r="D65" s="6"/>
      <c r="E65" s="6"/>
      <c r="F65" s="6"/>
      <c r="G65" s="6"/>
      <c r="H65" s="6"/>
      <c r="I65" s="6"/>
      <c r="J65" s="6"/>
    </row>
    <row r="66" spans="1:10" x14ac:dyDescent="0.25">
      <c r="A66" s="5">
        <v>0.25</v>
      </c>
      <c r="B66" s="6">
        <f>(SUM(B57:J57)/B61)*100</f>
        <v>0.20577431881013145</v>
      </c>
      <c r="C66" s="6"/>
      <c r="D66" s="6"/>
      <c r="E66" s="6"/>
      <c r="F66" s="6"/>
      <c r="G66" s="6"/>
      <c r="H66" s="6"/>
      <c r="I66" s="6"/>
      <c r="J66" s="6"/>
    </row>
    <row r="67" spans="1:10" x14ac:dyDescent="0.25">
      <c r="A67" s="5">
        <v>0.35</v>
      </c>
      <c r="B67" s="6">
        <f>(SUM(B58:J58)/B61)*100</f>
        <v>6.440264939859075E-2</v>
      </c>
      <c r="C67" s="6"/>
      <c r="D67" s="6"/>
      <c r="E67" s="6"/>
      <c r="F67" s="6"/>
      <c r="G67" s="6"/>
      <c r="H67" s="6"/>
      <c r="I67" s="6"/>
      <c r="J67" s="6"/>
    </row>
    <row r="68" spans="1:10" x14ac:dyDescent="0.25">
      <c r="A68" s="5">
        <v>0.45</v>
      </c>
      <c r="B68" s="6">
        <f>(SUM(B59:J59)/B61)*100</f>
        <v>3.6128315516282615E-2</v>
      </c>
      <c r="C68" s="6"/>
      <c r="D68" s="6"/>
      <c r="E68" s="6"/>
      <c r="F68" s="6"/>
      <c r="G68" s="6"/>
      <c r="H68" s="6"/>
      <c r="I68" s="6"/>
      <c r="J68" s="6"/>
    </row>
  </sheetData>
  <mergeCells count="3">
    <mergeCell ref="B1:J1"/>
    <mergeCell ref="B24:J24"/>
    <mergeCell ref="B47:J47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 Potoradi</dc:creator>
  <cp:lastModifiedBy>Kevin Peter</cp:lastModifiedBy>
  <dcterms:created xsi:type="dcterms:W3CDTF">2024-02-22T07:41:05Z</dcterms:created>
  <dcterms:modified xsi:type="dcterms:W3CDTF">2024-02-26T09:16:15Z</dcterms:modified>
</cp:coreProperties>
</file>