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5200" windowHeight="11850" activeTab="1"/>
  </bookViews>
  <sheets>
    <sheet name="Cohesion" sheetId="1" r:id="rId1"/>
    <sheet name="Plott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0" i="1" l="1"/>
  <c r="E110" i="1"/>
  <c r="G109" i="1"/>
  <c r="B109" i="1"/>
  <c r="J108" i="1"/>
  <c r="E106" i="1"/>
  <c r="E111" i="1" s="1"/>
  <c r="E104" i="1"/>
  <c r="E109" i="1" s="1"/>
  <c r="I101" i="1"/>
  <c r="I106" i="1" s="1"/>
  <c r="I111" i="1" s="1"/>
  <c r="H101" i="1"/>
  <c r="H106" i="1" s="1"/>
  <c r="H111" i="1" s="1"/>
  <c r="G101" i="1"/>
  <c r="G106" i="1" s="1"/>
  <c r="G111" i="1" s="1"/>
  <c r="C101" i="1"/>
  <c r="C106" i="1" s="1"/>
  <c r="C111" i="1" s="1"/>
  <c r="B101" i="1"/>
  <c r="B106" i="1" s="1"/>
  <c r="B111" i="1" s="1"/>
  <c r="J100" i="1"/>
  <c r="J105" i="1" s="1"/>
  <c r="F100" i="1"/>
  <c r="F105" i="1" s="1"/>
  <c r="F110" i="1" s="1"/>
  <c r="E100" i="1"/>
  <c r="E105" i="1" s="1"/>
  <c r="D100" i="1"/>
  <c r="D105" i="1" s="1"/>
  <c r="D110" i="1" s="1"/>
  <c r="I99" i="1"/>
  <c r="I104" i="1" s="1"/>
  <c r="I109" i="1" s="1"/>
  <c r="H99" i="1"/>
  <c r="H104" i="1" s="1"/>
  <c r="H109" i="1" s="1"/>
  <c r="G99" i="1"/>
  <c r="G104" i="1" s="1"/>
  <c r="C99" i="1"/>
  <c r="C104" i="1" s="1"/>
  <c r="C109" i="1" s="1"/>
  <c r="B99" i="1"/>
  <c r="B104" i="1" s="1"/>
  <c r="J98" i="1"/>
  <c r="J103" i="1" s="1"/>
  <c r="F98" i="1"/>
  <c r="F103" i="1" s="1"/>
  <c r="F108" i="1" s="1"/>
  <c r="E98" i="1"/>
  <c r="E103" i="1" s="1"/>
  <c r="E108" i="1" s="1"/>
  <c r="D98" i="1"/>
  <c r="D103" i="1" s="1"/>
  <c r="D108" i="1" s="1"/>
  <c r="J96" i="1"/>
  <c r="J101" i="1" s="1"/>
  <c r="J106" i="1" s="1"/>
  <c r="J111" i="1" s="1"/>
  <c r="I96" i="1"/>
  <c r="H96" i="1"/>
  <c r="G96" i="1"/>
  <c r="F96" i="1"/>
  <c r="F101" i="1" s="1"/>
  <c r="F106" i="1" s="1"/>
  <c r="F111" i="1" s="1"/>
  <c r="E96" i="1"/>
  <c r="E101" i="1" s="1"/>
  <c r="D96" i="1"/>
  <c r="D101" i="1" s="1"/>
  <c r="D106" i="1" s="1"/>
  <c r="D111" i="1" s="1"/>
  <c r="C96" i="1"/>
  <c r="B96" i="1"/>
  <c r="J95" i="1"/>
  <c r="I95" i="1"/>
  <c r="I100" i="1" s="1"/>
  <c r="I105" i="1" s="1"/>
  <c r="I110" i="1" s="1"/>
  <c r="H95" i="1"/>
  <c r="H100" i="1" s="1"/>
  <c r="H105" i="1" s="1"/>
  <c r="H110" i="1" s="1"/>
  <c r="G95" i="1"/>
  <c r="G100" i="1" s="1"/>
  <c r="G105" i="1" s="1"/>
  <c r="G110" i="1" s="1"/>
  <c r="F95" i="1"/>
  <c r="E95" i="1"/>
  <c r="D95" i="1"/>
  <c r="C95" i="1"/>
  <c r="C100" i="1" s="1"/>
  <c r="C105" i="1" s="1"/>
  <c r="C110" i="1" s="1"/>
  <c r="B95" i="1"/>
  <c r="B100" i="1" s="1"/>
  <c r="B105" i="1" s="1"/>
  <c r="B110" i="1" s="1"/>
  <c r="J94" i="1"/>
  <c r="J99" i="1" s="1"/>
  <c r="J104" i="1" s="1"/>
  <c r="J109" i="1" s="1"/>
  <c r="I94" i="1"/>
  <c r="H94" i="1"/>
  <c r="G94" i="1"/>
  <c r="F94" i="1"/>
  <c r="F99" i="1" s="1"/>
  <c r="F104" i="1" s="1"/>
  <c r="F109" i="1" s="1"/>
  <c r="E94" i="1"/>
  <c r="E99" i="1" s="1"/>
  <c r="D94" i="1"/>
  <c r="D99" i="1" s="1"/>
  <c r="D104" i="1" s="1"/>
  <c r="D109" i="1" s="1"/>
  <c r="C94" i="1"/>
  <c r="B94" i="1"/>
  <c r="J93" i="1"/>
  <c r="I93" i="1"/>
  <c r="I98" i="1" s="1"/>
  <c r="I103" i="1" s="1"/>
  <c r="I108" i="1" s="1"/>
  <c r="H93" i="1"/>
  <c r="H98" i="1" s="1"/>
  <c r="H103" i="1" s="1"/>
  <c r="H108" i="1" s="1"/>
  <c r="G93" i="1"/>
  <c r="G98" i="1" s="1"/>
  <c r="G103" i="1" s="1"/>
  <c r="G108" i="1" s="1"/>
  <c r="F93" i="1"/>
  <c r="E93" i="1"/>
  <c r="D93" i="1"/>
  <c r="C93" i="1"/>
  <c r="C98" i="1" s="1"/>
  <c r="C103" i="1" s="1"/>
  <c r="C108" i="1" s="1"/>
  <c r="B93" i="1"/>
  <c r="B98" i="1" s="1"/>
  <c r="B103" i="1" s="1"/>
  <c r="B108" i="1" s="1"/>
  <c r="J92" i="1"/>
  <c r="I92" i="1"/>
  <c r="H92" i="1"/>
  <c r="G92" i="1"/>
  <c r="F92" i="1"/>
  <c r="E92" i="1"/>
  <c r="D92" i="1"/>
  <c r="C92" i="1"/>
  <c r="B92" i="1"/>
  <c r="J86" i="1"/>
  <c r="I86" i="1"/>
  <c r="I97" i="1" s="1"/>
  <c r="I102" i="1" s="1"/>
  <c r="I107" i="1" s="1"/>
  <c r="H86" i="1"/>
  <c r="H97" i="1" s="1"/>
  <c r="H102" i="1" s="1"/>
  <c r="H107" i="1" s="1"/>
  <c r="G86" i="1"/>
  <c r="G97" i="1" s="1"/>
  <c r="G102" i="1" s="1"/>
  <c r="G107" i="1" s="1"/>
  <c r="F86" i="1"/>
  <c r="F97" i="1" s="1"/>
  <c r="F102" i="1" s="1"/>
  <c r="F107" i="1" s="1"/>
  <c r="E86" i="1"/>
  <c r="D86" i="1"/>
  <c r="C86" i="1"/>
  <c r="C97" i="1" s="1"/>
  <c r="C102" i="1" s="1"/>
  <c r="C107" i="1" s="1"/>
  <c r="B86" i="1"/>
  <c r="B97" i="1" s="1"/>
  <c r="B102" i="1" s="1"/>
  <c r="B107" i="1" s="1"/>
  <c r="B72" i="1"/>
  <c r="J71" i="1"/>
  <c r="H70" i="1"/>
  <c r="G70" i="1"/>
  <c r="B70" i="1"/>
  <c r="J69" i="1"/>
  <c r="I62" i="1"/>
  <c r="I67" i="1" s="1"/>
  <c r="I72" i="1" s="1"/>
  <c r="H62" i="1"/>
  <c r="H67" i="1" s="1"/>
  <c r="H72" i="1" s="1"/>
  <c r="G62" i="1"/>
  <c r="G67" i="1" s="1"/>
  <c r="G72" i="1" s="1"/>
  <c r="C62" i="1"/>
  <c r="C67" i="1" s="1"/>
  <c r="C72" i="1" s="1"/>
  <c r="B62" i="1"/>
  <c r="B67" i="1" s="1"/>
  <c r="J61" i="1"/>
  <c r="J66" i="1" s="1"/>
  <c r="F61" i="1"/>
  <c r="F66" i="1" s="1"/>
  <c r="F71" i="1" s="1"/>
  <c r="E61" i="1"/>
  <c r="E66" i="1" s="1"/>
  <c r="E71" i="1" s="1"/>
  <c r="D61" i="1"/>
  <c r="D66" i="1" s="1"/>
  <c r="D71" i="1" s="1"/>
  <c r="I60" i="1"/>
  <c r="I65" i="1" s="1"/>
  <c r="I70" i="1" s="1"/>
  <c r="H60" i="1"/>
  <c r="H65" i="1" s="1"/>
  <c r="G60" i="1"/>
  <c r="G65" i="1" s="1"/>
  <c r="C60" i="1"/>
  <c r="C65" i="1" s="1"/>
  <c r="C70" i="1" s="1"/>
  <c r="B60" i="1"/>
  <c r="B65" i="1" s="1"/>
  <c r="J59" i="1"/>
  <c r="J64" i="1" s="1"/>
  <c r="F59" i="1"/>
  <c r="F64" i="1" s="1"/>
  <c r="F69" i="1" s="1"/>
  <c r="E59" i="1"/>
  <c r="E64" i="1" s="1"/>
  <c r="E69" i="1" s="1"/>
  <c r="D59" i="1"/>
  <c r="D64" i="1" s="1"/>
  <c r="D69" i="1" s="1"/>
  <c r="J57" i="1"/>
  <c r="J62" i="1" s="1"/>
  <c r="J67" i="1" s="1"/>
  <c r="J72" i="1" s="1"/>
  <c r="I57" i="1"/>
  <c r="H57" i="1"/>
  <c r="G57" i="1"/>
  <c r="F57" i="1"/>
  <c r="F62" i="1" s="1"/>
  <c r="F67" i="1" s="1"/>
  <c r="F72" i="1" s="1"/>
  <c r="E57" i="1"/>
  <c r="E62" i="1" s="1"/>
  <c r="E67" i="1" s="1"/>
  <c r="E72" i="1" s="1"/>
  <c r="D57" i="1"/>
  <c r="D62" i="1" s="1"/>
  <c r="D67" i="1" s="1"/>
  <c r="D72" i="1" s="1"/>
  <c r="C57" i="1"/>
  <c r="B57" i="1"/>
  <c r="J56" i="1"/>
  <c r="I56" i="1"/>
  <c r="I61" i="1" s="1"/>
  <c r="I66" i="1" s="1"/>
  <c r="I71" i="1" s="1"/>
  <c r="H56" i="1"/>
  <c r="H61" i="1" s="1"/>
  <c r="H66" i="1" s="1"/>
  <c r="H71" i="1" s="1"/>
  <c r="G56" i="1"/>
  <c r="G61" i="1" s="1"/>
  <c r="G66" i="1" s="1"/>
  <c r="G71" i="1" s="1"/>
  <c r="F56" i="1"/>
  <c r="E56" i="1"/>
  <c r="D56" i="1"/>
  <c r="C56" i="1"/>
  <c r="C61" i="1" s="1"/>
  <c r="C66" i="1" s="1"/>
  <c r="C71" i="1" s="1"/>
  <c r="B56" i="1"/>
  <c r="B61" i="1" s="1"/>
  <c r="B66" i="1" s="1"/>
  <c r="B71" i="1" s="1"/>
  <c r="J55" i="1"/>
  <c r="J60" i="1" s="1"/>
  <c r="J65" i="1" s="1"/>
  <c r="J70" i="1" s="1"/>
  <c r="I55" i="1"/>
  <c r="H55" i="1"/>
  <c r="G55" i="1"/>
  <c r="F55" i="1"/>
  <c r="F60" i="1" s="1"/>
  <c r="F65" i="1" s="1"/>
  <c r="F70" i="1" s="1"/>
  <c r="E55" i="1"/>
  <c r="E60" i="1" s="1"/>
  <c r="E65" i="1" s="1"/>
  <c r="E70" i="1" s="1"/>
  <c r="D55" i="1"/>
  <c r="D60" i="1" s="1"/>
  <c r="D65" i="1" s="1"/>
  <c r="D70" i="1" s="1"/>
  <c r="C55" i="1"/>
  <c r="B55" i="1"/>
  <c r="J54" i="1"/>
  <c r="I54" i="1"/>
  <c r="I59" i="1" s="1"/>
  <c r="I64" i="1" s="1"/>
  <c r="I69" i="1" s="1"/>
  <c r="H54" i="1"/>
  <c r="H59" i="1" s="1"/>
  <c r="H64" i="1" s="1"/>
  <c r="H69" i="1" s="1"/>
  <c r="G54" i="1"/>
  <c r="G59" i="1" s="1"/>
  <c r="G64" i="1" s="1"/>
  <c r="G69" i="1" s="1"/>
  <c r="F54" i="1"/>
  <c r="E54" i="1"/>
  <c r="D54" i="1"/>
  <c r="C54" i="1"/>
  <c r="C59" i="1" s="1"/>
  <c r="C64" i="1" s="1"/>
  <c r="C69" i="1" s="1"/>
  <c r="B54" i="1"/>
  <c r="B59" i="1" s="1"/>
  <c r="B64" i="1" s="1"/>
  <c r="B69" i="1" s="1"/>
  <c r="J53" i="1"/>
  <c r="I53" i="1"/>
  <c r="H53" i="1"/>
  <c r="G53" i="1"/>
  <c r="F53" i="1"/>
  <c r="E53" i="1"/>
  <c r="D53" i="1"/>
  <c r="C53" i="1"/>
  <c r="B53" i="1"/>
  <c r="J47" i="1"/>
  <c r="I47" i="1"/>
  <c r="I58" i="1" s="1"/>
  <c r="I63" i="1" s="1"/>
  <c r="I68" i="1" s="1"/>
  <c r="H47" i="1"/>
  <c r="H58" i="1" s="1"/>
  <c r="H63" i="1" s="1"/>
  <c r="H68" i="1" s="1"/>
  <c r="G47" i="1"/>
  <c r="G58" i="1" s="1"/>
  <c r="G63" i="1" s="1"/>
  <c r="G68" i="1" s="1"/>
  <c r="F47" i="1"/>
  <c r="F58" i="1" s="1"/>
  <c r="F63" i="1" s="1"/>
  <c r="F68" i="1" s="1"/>
  <c r="E47" i="1"/>
  <c r="D47" i="1"/>
  <c r="C47" i="1"/>
  <c r="C58" i="1" s="1"/>
  <c r="C63" i="1" s="1"/>
  <c r="C68" i="1" s="1"/>
  <c r="B47" i="1"/>
  <c r="B58" i="1" s="1"/>
  <c r="B63" i="1" s="1"/>
  <c r="B68" i="1" s="1"/>
  <c r="G33" i="1"/>
  <c r="D32" i="1"/>
  <c r="C32" i="1"/>
  <c r="G31" i="1"/>
  <c r="G27" i="1"/>
  <c r="G32" i="1" s="1"/>
  <c r="G25" i="1"/>
  <c r="G30" i="1" s="1"/>
  <c r="H23" i="1"/>
  <c r="H28" i="1" s="1"/>
  <c r="H33" i="1" s="1"/>
  <c r="G23" i="1"/>
  <c r="G28" i="1" s="1"/>
  <c r="F23" i="1"/>
  <c r="F28" i="1" s="1"/>
  <c r="F33" i="1" s="1"/>
  <c r="B23" i="1"/>
  <c r="B28" i="1" s="1"/>
  <c r="B33" i="1" s="1"/>
  <c r="J22" i="1"/>
  <c r="J27" i="1" s="1"/>
  <c r="J32" i="1" s="1"/>
  <c r="I22" i="1"/>
  <c r="I27" i="1" s="1"/>
  <c r="I32" i="1" s="1"/>
  <c r="E22" i="1"/>
  <c r="E27" i="1" s="1"/>
  <c r="E32" i="1" s="1"/>
  <c r="D22" i="1"/>
  <c r="D27" i="1" s="1"/>
  <c r="C22" i="1"/>
  <c r="C27" i="1" s="1"/>
  <c r="H21" i="1"/>
  <c r="H26" i="1" s="1"/>
  <c r="H31" i="1" s="1"/>
  <c r="G21" i="1"/>
  <c r="G26" i="1" s="1"/>
  <c r="F21" i="1"/>
  <c r="F26" i="1" s="1"/>
  <c r="F31" i="1" s="1"/>
  <c r="B21" i="1"/>
  <c r="B26" i="1" s="1"/>
  <c r="B31" i="1" s="1"/>
  <c r="J20" i="1"/>
  <c r="J25" i="1" s="1"/>
  <c r="J30" i="1" s="1"/>
  <c r="I20" i="1"/>
  <c r="I25" i="1" s="1"/>
  <c r="I30" i="1" s="1"/>
  <c r="E20" i="1"/>
  <c r="E25" i="1" s="1"/>
  <c r="E30" i="1" s="1"/>
  <c r="D20" i="1"/>
  <c r="D25" i="1" s="1"/>
  <c r="D30" i="1" s="1"/>
  <c r="C20" i="1"/>
  <c r="C25" i="1" s="1"/>
  <c r="C30" i="1" s="1"/>
  <c r="J18" i="1"/>
  <c r="J23" i="1" s="1"/>
  <c r="J28" i="1" s="1"/>
  <c r="J33" i="1" s="1"/>
  <c r="I18" i="1"/>
  <c r="I23" i="1" s="1"/>
  <c r="I28" i="1" s="1"/>
  <c r="I33" i="1" s="1"/>
  <c r="H18" i="1"/>
  <c r="G18" i="1"/>
  <c r="F18" i="1"/>
  <c r="E18" i="1"/>
  <c r="E23" i="1" s="1"/>
  <c r="E28" i="1" s="1"/>
  <c r="E33" i="1" s="1"/>
  <c r="D18" i="1"/>
  <c r="D23" i="1" s="1"/>
  <c r="D28" i="1" s="1"/>
  <c r="D33" i="1" s="1"/>
  <c r="C18" i="1"/>
  <c r="C23" i="1" s="1"/>
  <c r="C28" i="1" s="1"/>
  <c r="C33" i="1" s="1"/>
  <c r="B18" i="1"/>
  <c r="J17" i="1"/>
  <c r="I17" i="1"/>
  <c r="H17" i="1"/>
  <c r="H22" i="1" s="1"/>
  <c r="H27" i="1" s="1"/>
  <c r="H32" i="1" s="1"/>
  <c r="G17" i="1"/>
  <c r="G22" i="1" s="1"/>
  <c r="F17" i="1"/>
  <c r="F22" i="1" s="1"/>
  <c r="F27" i="1" s="1"/>
  <c r="F32" i="1" s="1"/>
  <c r="E17" i="1"/>
  <c r="D17" i="1"/>
  <c r="C17" i="1"/>
  <c r="B17" i="1"/>
  <c r="B22" i="1" s="1"/>
  <c r="B27" i="1" s="1"/>
  <c r="B32" i="1" s="1"/>
  <c r="J16" i="1"/>
  <c r="J21" i="1" s="1"/>
  <c r="J26" i="1" s="1"/>
  <c r="J31" i="1" s="1"/>
  <c r="I16" i="1"/>
  <c r="I21" i="1" s="1"/>
  <c r="I26" i="1" s="1"/>
  <c r="I31" i="1" s="1"/>
  <c r="H16" i="1"/>
  <c r="G16" i="1"/>
  <c r="F16" i="1"/>
  <c r="E16" i="1"/>
  <c r="E21" i="1" s="1"/>
  <c r="E26" i="1" s="1"/>
  <c r="E31" i="1" s="1"/>
  <c r="D16" i="1"/>
  <c r="D21" i="1" s="1"/>
  <c r="D26" i="1" s="1"/>
  <c r="D31" i="1" s="1"/>
  <c r="C16" i="1"/>
  <c r="C21" i="1" s="1"/>
  <c r="C26" i="1" s="1"/>
  <c r="C31" i="1" s="1"/>
  <c r="B36" i="1" s="1"/>
  <c r="B16" i="1"/>
  <c r="J15" i="1"/>
  <c r="I15" i="1"/>
  <c r="H15" i="1"/>
  <c r="H20" i="1" s="1"/>
  <c r="H25" i="1" s="1"/>
  <c r="H30" i="1" s="1"/>
  <c r="G15" i="1"/>
  <c r="G20" i="1" s="1"/>
  <c r="F15" i="1"/>
  <c r="F20" i="1" s="1"/>
  <c r="F25" i="1" s="1"/>
  <c r="F30" i="1" s="1"/>
  <c r="E15" i="1"/>
  <c r="D15" i="1"/>
  <c r="C15" i="1"/>
  <c r="B15" i="1"/>
  <c r="B20" i="1" s="1"/>
  <c r="B25" i="1" s="1"/>
  <c r="B30" i="1" s="1"/>
  <c r="J14" i="1"/>
  <c r="I14" i="1"/>
  <c r="H14" i="1"/>
  <c r="G14" i="1"/>
  <c r="F14" i="1"/>
  <c r="E14" i="1"/>
  <c r="D14" i="1"/>
  <c r="C14" i="1"/>
  <c r="B14" i="1"/>
  <c r="J8" i="1"/>
  <c r="I8" i="1"/>
  <c r="H8" i="1"/>
  <c r="H19" i="1" s="1"/>
  <c r="H24" i="1" s="1"/>
  <c r="H29" i="1" s="1"/>
  <c r="G8" i="1"/>
  <c r="G19" i="1" s="1"/>
  <c r="G24" i="1" s="1"/>
  <c r="G29" i="1" s="1"/>
  <c r="F8" i="1"/>
  <c r="F19" i="1" s="1"/>
  <c r="F24" i="1" s="1"/>
  <c r="F29" i="1" s="1"/>
  <c r="E8" i="1"/>
  <c r="D8" i="1"/>
  <c r="C8" i="1"/>
  <c r="B8" i="1"/>
  <c r="B19" i="1" s="1"/>
  <c r="B24" i="1" s="1"/>
  <c r="B29" i="1" s="1"/>
  <c r="B113" i="1" l="1"/>
  <c r="D97" i="1"/>
  <c r="D102" i="1" s="1"/>
  <c r="D107" i="1" s="1"/>
  <c r="J97" i="1"/>
  <c r="J102" i="1" s="1"/>
  <c r="J107" i="1" s="1"/>
  <c r="E97" i="1"/>
  <c r="E102" i="1" s="1"/>
  <c r="E107" i="1" s="1"/>
  <c r="B112" i="1" s="1"/>
  <c r="B114" i="1"/>
  <c r="B115" i="1"/>
  <c r="B116" i="1"/>
  <c r="B74" i="1"/>
  <c r="D58" i="1"/>
  <c r="D63" i="1" s="1"/>
  <c r="D68" i="1" s="1"/>
  <c r="J58" i="1"/>
  <c r="J63" i="1" s="1"/>
  <c r="J68" i="1" s="1"/>
  <c r="E58" i="1"/>
  <c r="E63" i="1" s="1"/>
  <c r="E68" i="1" s="1"/>
  <c r="B75" i="1"/>
  <c r="B76" i="1"/>
  <c r="B77" i="1"/>
  <c r="B73" i="1"/>
  <c r="B35" i="1"/>
  <c r="B37" i="1"/>
  <c r="B38" i="1"/>
  <c r="C19" i="1"/>
  <c r="C24" i="1" s="1"/>
  <c r="C29" i="1" s="1"/>
  <c r="I19" i="1"/>
  <c r="I24" i="1" s="1"/>
  <c r="I29" i="1" s="1"/>
  <c r="D19" i="1"/>
  <c r="D24" i="1" s="1"/>
  <c r="D29" i="1" s="1"/>
  <c r="B34" i="1" s="1"/>
  <c r="J19" i="1"/>
  <c r="J24" i="1" s="1"/>
  <c r="J29" i="1" s="1"/>
  <c r="E19" i="1"/>
  <c r="E24" i="1" s="1"/>
  <c r="E29" i="1" s="1"/>
</calcChain>
</file>

<file path=xl/sharedStrings.xml><?xml version="1.0" encoding="utf-8"?>
<sst xmlns="http://schemas.openxmlformats.org/spreadsheetml/2006/main" count="46" uniqueCount="26">
  <si>
    <t>Spruce</t>
  </si>
  <si>
    <t>Size of root [mm]</t>
  </si>
  <si>
    <t>from top [cm]</t>
  </si>
  <si>
    <t>0 - 10</t>
  </si>
  <si>
    <t>11 - 20</t>
  </si>
  <si>
    <t>21 - 30</t>
  </si>
  <si>
    <t>31 - 40</t>
  </si>
  <si>
    <t>41 - 50</t>
  </si>
  <si>
    <t>root area</t>
  </si>
  <si>
    <t>RAR</t>
  </si>
  <si>
    <t>total root tensile strength [Mpa]</t>
  </si>
  <si>
    <t>tr [kPa]</t>
  </si>
  <si>
    <t>root cohesion</t>
  </si>
  <si>
    <t>Beech</t>
  </si>
  <si>
    <t>Root Area [mm²]</t>
  </si>
  <si>
    <t xml:space="preserve"> RAR [%]</t>
  </si>
  <si>
    <t>Total Root Tensile Strength [Mpa]</t>
  </si>
  <si>
    <t>Tr [kPa]</t>
  </si>
  <si>
    <t>Root Cohesion [kPa]</t>
  </si>
  <si>
    <t>Sum Root Cohesion</t>
  </si>
  <si>
    <t>Sum Root Cohesion [kPa]</t>
  </si>
  <si>
    <t>Pine</t>
  </si>
  <si>
    <t>Depth [m]</t>
  </si>
  <si>
    <t>Cohesion Beech [kPa]</t>
  </si>
  <si>
    <t>Cohesion Spruce [kPa]</t>
  </si>
  <si>
    <t>Cohesion Pine [kPa]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</si>
</sst>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0" fontId="0" fillId="2" borderId="0" xfId="0" applyFill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Cohesion of Beech, Spruce and Pine [kPa]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3172003499562554"/>
          <c:y val="0.17171296296296296"/>
          <c:w val="0.80649518810148724"/>
          <c:h val="0.62792395742198892"/>
        </c:manualLayout>
      </c:layout>
      <c:scatterChart>
        <c:scatterStyle val="lineMarker"/>
        <c:varyColors val="0"/>
        <c:ser>
          <c:idx val="0"/>
          <c:order val="0"/>
          <c:tx>
            <c:v>Beech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Plotting!$B$2:$B$6</c:f>
              <c:numCache>
                <c:formatCode>0.00</c:formatCode>
                <c:ptCount val="5"/>
                <c:pt idx="0">
                  <c:v>25.663986337983907</c:v>
                </c:pt>
                <c:pt idx="1">
                  <c:v>9.8264248818345887</c:v>
                </c:pt>
                <c:pt idx="2">
                  <c:v>8.7037573812106785</c:v>
                </c:pt>
                <c:pt idx="3">
                  <c:v>1.2460375556375312</c:v>
                </c:pt>
                <c:pt idx="4">
                  <c:v>1.0979934896211909</c:v>
                </c:pt>
              </c:numCache>
            </c:numRef>
          </c:xVal>
          <c:yVal>
            <c:numRef>
              <c:f>Plotting!$A$2:$A$6</c:f>
              <c:numCache>
                <c:formatCode>General</c:formatCode>
                <c:ptCount val="5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E-43E6-9B83-C32937EBEDF0}"/>
            </c:ext>
          </c:extLst>
        </c:ser>
        <c:ser>
          <c:idx val="1"/>
          <c:order val="1"/>
          <c:tx>
            <c:v>Spruce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Plotting!$C$2:$C$6</c:f>
              <c:numCache>
                <c:formatCode>0.00</c:formatCode>
                <c:ptCount val="5"/>
                <c:pt idx="0">
                  <c:v>6.1367914167449529</c:v>
                </c:pt>
                <c:pt idx="1">
                  <c:v>1.38174461615251</c:v>
                </c:pt>
                <c:pt idx="2">
                  <c:v>1.0239714566130209</c:v>
                </c:pt>
                <c:pt idx="3">
                  <c:v>1.2337005501361697E-2</c:v>
                </c:pt>
                <c:pt idx="4">
                  <c:v>0</c:v>
                </c:pt>
              </c:numCache>
            </c:numRef>
          </c:xVal>
          <c:yVal>
            <c:numRef>
              <c:f>Plotting!$A$2:$A$6</c:f>
              <c:numCache>
                <c:formatCode>General</c:formatCode>
                <c:ptCount val="5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8E-43E6-9B83-C32937EBEDF0}"/>
            </c:ext>
          </c:extLst>
        </c:ser>
        <c:ser>
          <c:idx val="2"/>
          <c:order val="2"/>
          <c:tx>
            <c:v>Pine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Plotting!$D$2:$D$6</c:f>
              <c:numCache>
                <c:formatCode>0.00</c:formatCode>
                <c:ptCount val="5"/>
                <c:pt idx="0">
                  <c:v>4.0110660210445976</c:v>
                </c:pt>
                <c:pt idx="1">
                  <c:v>10.369253123894506</c:v>
                </c:pt>
                <c:pt idx="2">
                  <c:v>16.698136946093058</c:v>
                </c:pt>
                <c:pt idx="3">
                  <c:v>3.0595773643377004</c:v>
                </c:pt>
                <c:pt idx="4">
                  <c:v>1.8258768142015311</c:v>
                </c:pt>
              </c:numCache>
            </c:numRef>
          </c:xVal>
          <c:yVal>
            <c:numRef>
              <c:f>Plotting!$A$2:$A$6</c:f>
              <c:numCache>
                <c:formatCode>General</c:formatCode>
                <c:ptCount val="5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8E-43E6-9B83-C32937EBE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99512"/>
        <c:axId val="507705088"/>
      </c:scatterChart>
      <c:valAx>
        <c:axId val="507699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Cohesion [kPa]</a:t>
                </a:r>
              </a:p>
            </c:rich>
          </c:tx>
          <c:layout>
            <c:manualLayout>
              <c:xMode val="edge"/>
              <c:yMode val="edge"/>
              <c:x val="0.55625218722659664"/>
              <c:y val="0.897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7705088"/>
        <c:crosses val="autoZero"/>
        <c:crossBetween val="midCat"/>
      </c:valAx>
      <c:valAx>
        <c:axId val="50770508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 [m]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66056794983960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7699512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013998250218732E-2"/>
          <c:y val="0.89409667541557303"/>
          <c:w val="0.3099825021872266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4</xdr:row>
      <xdr:rowOff>19050</xdr:rowOff>
    </xdr:from>
    <xdr:to>
      <xdr:col>13</xdr:col>
      <xdr:colOff>419100</xdr:colOff>
      <xdr:row>18</xdr:row>
      <xdr:rowOff>95250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topLeftCell="A100" workbookViewId="0">
      <selection activeCell="B112" sqref="B112:B116"/>
    </sheetView>
  </sheetViews>
  <sheetFormatPr baseColWidth="10" defaultRowHeight="15" x14ac:dyDescent="0.25"/>
  <cols>
    <col min="1" max="1" width="31.140625" bestFit="1" customWidth="1"/>
  </cols>
  <sheetData>
    <row r="1" spans="1:10" x14ac:dyDescent="0.25">
      <c r="A1" s="3" t="s">
        <v>13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2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</row>
    <row r="3" spans="1:10" x14ac:dyDescent="0.25">
      <c r="A3" s="4" t="s">
        <v>3</v>
      </c>
      <c r="B3">
        <v>13</v>
      </c>
      <c r="C3">
        <v>9</v>
      </c>
      <c r="D3">
        <v>4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s="5" t="s">
        <v>4</v>
      </c>
      <c r="B4">
        <v>9</v>
      </c>
      <c r="C4">
        <v>8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</row>
    <row r="5" spans="1:10" x14ac:dyDescent="0.25">
      <c r="A5" s="4" t="s">
        <v>5</v>
      </c>
      <c r="B5">
        <v>2</v>
      </c>
      <c r="C5">
        <v>6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 spans="1:10" x14ac:dyDescent="0.25">
      <c r="A6" s="4" t="s">
        <v>6</v>
      </c>
      <c r="B6">
        <v>5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4" t="s">
        <v>7</v>
      </c>
      <c r="B7">
        <v>10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</row>
    <row r="8" spans="1:10" x14ac:dyDescent="0.25">
      <c r="A8" s="6"/>
      <c r="B8">
        <f>((-13.32)*LN(B2))+33.964</f>
        <v>33.963999999999999</v>
      </c>
      <c r="C8">
        <f>((-13.32)*LN(C2))+33.964</f>
        <v>24.73127955494153</v>
      </c>
      <c r="D8">
        <f t="shared" ref="D8:J8" si="0">((-13.32)*LN(D2))+33.964</f>
        <v>19.330484314940776</v>
      </c>
      <c r="E8">
        <f t="shared" si="0"/>
        <v>15.498559109883058</v>
      </c>
      <c r="F8">
        <f t="shared" si="0"/>
        <v>12.526287006377782</v>
      </c>
      <c r="G8">
        <f t="shared" si="0"/>
        <v>10.097763869882307</v>
      </c>
      <c r="H8">
        <f t="shared" si="0"/>
        <v>8.0444768145832271</v>
      </c>
      <c r="I8">
        <f t="shared" si="0"/>
        <v>6.2658386648245852</v>
      </c>
      <c r="J8">
        <f t="shared" si="0"/>
        <v>4.6969686298815532</v>
      </c>
    </row>
    <row r="9" spans="1:10" x14ac:dyDescent="0.25">
      <c r="A9" s="4" t="s">
        <v>14</v>
      </c>
      <c r="B9">
        <v>10.2101761241668</v>
      </c>
      <c r="C9">
        <v>28.274333882308138</v>
      </c>
      <c r="D9">
        <v>28.274333882308138</v>
      </c>
      <c r="E9">
        <v>62.831853071795862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s="6"/>
      <c r="B10">
        <v>7.0685834705770345</v>
      </c>
      <c r="C10">
        <v>25.132741228718345</v>
      </c>
      <c r="D10">
        <v>7.0685834705770345</v>
      </c>
      <c r="E10">
        <v>0</v>
      </c>
      <c r="F10">
        <v>19.634954084936208</v>
      </c>
      <c r="G10">
        <v>28.274333882308138</v>
      </c>
      <c r="H10">
        <v>0</v>
      </c>
      <c r="I10">
        <v>0</v>
      </c>
      <c r="J10">
        <v>0</v>
      </c>
    </row>
    <row r="11" spans="1:10" x14ac:dyDescent="0.25">
      <c r="A11" s="6"/>
      <c r="B11">
        <v>1.5707963267948966</v>
      </c>
      <c r="C11">
        <v>18.849555921538759</v>
      </c>
      <c r="D11">
        <v>0</v>
      </c>
      <c r="E11">
        <v>12.566370614359172</v>
      </c>
      <c r="F11">
        <v>19.634954084936208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s="6"/>
      <c r="B12">
        <v>3.9269908169872414</v>
      </c>
      <c r="C12">
        <v>6.2831853071795862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s="6"/>
      <c r="B13">
        <v>7.8539816339744828</v>
      </c>
      <c r="C13">
        <v>12.566370614359172</v>
      </c>
      <c r="D13">
        <v>0</v>
      </c>
      <c r="E13">
        <v>0</v>
      </c>
      <c r="F13">
        <v>19.634954084936208</v>
      </c>
      <c r="G13">
        <v>0</v>
      </c>
      <c r="H13">
        <v>38.484510006474963</v>
      </c>
      <c r="I13">
        <v>0</v>
      </c>
      <c r="J13">
        <v>0</v>
      </c>
    </row>
    <row r="14" spans="1:10" x14ac:dyDescent="0.25">
      <c r="A14" s="4" t="s">
        <v>15</v>
      </c>
      <c r="B14">
        <f>B9/50000</f>
        <v>2.04203522483336E-4</v>
      </c>
      <c r="C14">
        <f t="shared" ref="C14:J14" si="1">C9/50000</f>
        <v>5.6548667764616273E-4</v>
      </c>
      <c r="D14">
        <f t="shared" si="1"/>
        <v>5.6548667764616273E-4</v>
      </c>
      <c r="E14">
        <f t="shared" si="1"/>
        <v>1.2566370614359172E-3</v>
      </c>
      <c r="F14">
        <f t="shared" si="1"/>
        <v>0</v>
      </c>
      <c r="G14">
        <f t="shared" si="1"/>
        <v>0</v>
      </c>
      <c r="H14">
        <f t="shared" si="1"/>
        <v>0</v>
      </c>
      <c r="I14">
        <f t="shared" si="1"/>
        <v>0</v>
      </c>
      <c r="J14">
        <f t="shared" si="1"/>
        <v>0</v>
      </c>
    </row>
    <row r="15" spans="1:10" x14ac:dyDescent="0.25">
      <c r="A15" s="6"/>
      <c r="B15">
        <f t="shared" ref="B15:J18" si="2">B10/50000</f>
        <v>1.4137166941154068E-4</v>
      </c>
      <c r="C15">
        <f t="shared" si="2"/>
        <v>5.0265482457436685E-4</v>
      </c>
      <c r="D15">
        <f t="shared" si="2"/>
        <v>1.4137166941154068E-4</v>
      </c>
      <c r="E15">
        <f t="shared" si="2"/>
        <v>0</v>
      </c>
      <c r="F15">
        <f t="shared" si="2"/>
        <v>3.9269908169872416E-4</v>
      </c>
      <c r="G15">
        <f t="shared" si="2"/>
        <v>5.6548667764616273E-4</v>
      </c>
      <c r="H15">
        <f t="shared" si="2"/>
        <v>0</v>
      </c>
      <c r="I15">
        <f t="shared" si="2"/>
        <v>0</v>
      </c>
      <c r="J15">
        <f t="shared" si="2"/>
        <v>0</v>
      </c>
    </row>
    <row r="16" spans="1:10" x14ac:dyDescent="0.25">
      <c r="A16" s="6"/>
      <c r="B16">
        <f t="shared" si="2"/>
        <v>3.1415926535897928E-5</v>
      </c>
      <c r="C16">
        <f t="shared" si="2"/>
        <v>3.7699111843077519E-4</v>
      </c>
      <c r="D16">
        <f t="shared" si="2"/>
        <v>0</v>
      </c>
      <c r="E16">
        <f t="shared" si="2"/>
        <v>2.5132741228718343E-4</v>
      </c>
      <c r="F16">
        <f t="shared" si="2"/>
        <v>3.9269908169872416E-4</v>
      </c>
      <c r="G16">
        <f t="shared" si="2"/>
        <v>0</v>
      </c>
      <c r="H16">
        <f t="shared" si="2"/>
        <v>0</v>
      </c>
      <c r="I16">
        <f t="shared" si="2"/>
        <v>0</v>
      </c>
      <c r="J16">
        <f t="shared" si="2"/>
        <v>0</v>
      </c>
    </row>
    <row r="17" spans="1:10" x14ac:dyDescent="0.25">
      <c r="A17" s="6"/>
      <c r="B17">
        <f t="shared" si="2"/>
        <v>7.8539816339744827E-5</v>
      </c>
      <c r="C17">
        <f t="shared" si="2"/>
        <v>1.2566370614359171E-4</v>
      </c>
      <c r="D17">
        <f t="shared" si="2"/>
        <v>0</v>
      </c>
      <c r="E17">
        <f t="shared" si="2"/>
        <v>0</v>
      </c>
      <c r="F17">
        <f t="shared" si="2"/>
        <v>0</v>
      </c>
      <c r="G17">
        <f t="shared" si="2"/>
        <v>0</v>
      </c>
      <c r="H17">
        <f t="shared" si="2"/>
        <v>0</v>
      </c>
      <c r="I17">
        <f t="shared" si="2"/>
        <v>0</v>
      </c>
      <c r="J17">
        <f t="shared" si="2"/>
        <v>0</v>
      </c>
    </row>
    <row r="18" spans="1:10" x14ac:dyDescent="0.25">
      <c r="A18" s="6"/>
      <c r="B18">
        <f t="shared" si="2"/>
        <v>1.5707963267948965E-4</v>
      </c>
      <c r="C18">
        <f t="shared" si="2"/>
        <v>2.5132741228718343E-4</v>
      </c>
      <c r="D18">
        <f t="shared" si="2"/>
        <v>0</v>
      </c>
      <c r="E18">
        <f t="shared" si="2"/>
        <v>0</v>
      </c>
      <c r="F18">
        <f t="shared" si="2"/>
        <v>3.9269908169872416E-4</v>
      </c>
      <c r="G18">
        <f t="shared" si="2"/>
        <v>0</v>
      </c>
      <c r="H18">
        <f t="shared" si="2"/>
        <v>7.696902001294993E-4</v>
      </c>
      <c r="I18">
        <f t="shared" si="2"/>
        <v>0</v>
      </c>
      <c r="J18">
        <f t="shared" si="2"/>
        <v>0</v>
      </c>
    </row>
    <row r="19" spans="1:10" x14ac:dyDescent="0.25">
      <c r="A19" s="4" t="s">
        <v>16</v>
      </c>
      <c r="B19">
        <f>B8*B14</f>
        <v>6.9355684376240234E-3</v>
      </c>
      <c r="C19">
        <f t="shared" ref="C19:J19" si="3">C8*C14</f>
        <v>1.3985209109462356E-2</v>
      </c>
      <c r="D19">
        <f t="shared" si="3"/>
        <v>1.093113135254712E-2</v>
      </c>
      <c r="E19">
        <f t="shared" si="3"/>
        <v>1.9476063776334311E-2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0</v>
      </c>
      <c r="J19">
        <f t="shared" si="3"/>
        <v>0</v>
      </c>
    </row>
    <row r="20" spans="1:10" x14ac:dyDescent="0.25">
      <c r="A20" s="6"/>
      <c r="B20">
        <f t="shared" ref="B20:J23" si="4">B9*B15</f>
        <v>1.4434296436593146E-3</v>
      </c>
      <c r="C20">
        <f t="shared" si="4"/>
        <v>1.4212230337568674E-2</v>
      </c>
      <c r="D20">
        <f t="shared" si="4"/>
        <v>3.9971897824411899E-3</v>
      </c>
      <c r="E20">
        <f t="shared" si="4"/>
        <v>0</v>
      </c>
      <c r="F20">
        <f t="shared" si="4"/>
        <v>0</v>
      </c>
      <c r="G20">
        <f t="shared" si="4"/>
        <v>0</v>
      </c>
      <c r="H20">
        <f t="shared" si="4"/>
        <v>0</v>
      </c>
      <c r="I20">
        <f t="shared" si="4"/>
        <v>0</v>
      </c>
      <c r="J20">
        <f t="shared" si="4"/>
        <v>0</v>
      </c>
    </row>
    <row r="21" spans="1:10" x14ac:dyDescent="0.25">
      <c r="A21" s="6"/>
      <c r="B21">
        <f t="shared" si="4"/>
        <v>2.2206609902451053E-4</v>
      </c>
      <c r="C21">
        <f t="shared" si="4"/>
        <v>9.4748202250457842E-3</v>
      </c>
      <c r="D21">
        <f t="shared" si="4"/>
        <v>0</v>
      </c>
      <c r="E21">
        <f t="shared" si="4"/>
        <v>0</v>
      </c>
      <c r="F21">
        <f t="shared" si="4"/>
        <v>7.7106284383510618E-3</v>
      </c>
      <c r="G21">
        <f t="shared" si="4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6"/>
      <c r="B22">
        <f t="shared" si="4"/>
        <v>1.2337005501361696E-4</v>
      </c>
      <c r="C22">
        <f t="shared" si="4"/>
        <v>2.3687050562614456E-3</v>
      </c>
      <c r="D22">
        <f t="shared" si="4"/>
        <v>0</v>
      </c>
      <c r="E22">
        <f t="shared" si="4"/>
        <v>0</v>
      </c>
      <c r="F22">
        <f t="shared" si="4"/>
        <v>0</v>
      </c>
      <c r="G22">
        <f t="shared" si="4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6"/>
      <c r="B23">
        <f t="shared" si="4"/>
        <v>6.168502750680849E-4</v>
      </c>
      <c r="C23">
        <f t="shared" si="4"/>
        <v>1.5791367041742971E-3</v>
      </c>
      <c r="D23">
        <f t="shared" si="4"/>
        <v>0</v>
      </c>
      <c r="E23">
        <f t="shared" si="4"/>
        <v>0</v>
      </c>
      <c r="F23">
        <f t="shared" si="4"/>
        <v>0</v>
      </c>
      <c r="G23">
        <f t="shared" si="4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4" t="s">
        <v>17</v>
      </c>
      <c r="B24">
        <f>B19*1000</f>
        <v>6.9355684376240232</v>
      </c>
      <c r="C24">
        <f t="shared" ref="C24:J24" si="5">C19*1000</f>
        <v>13.985209109462357</v>
      </c>
      <c r="D24">
        <f t="shared" si="5"/>
        <v>10.931131352547121</v>
      </c>
      <c r="E24">
        <f t="shared" si="5"/>
        <v>19.476063776334311</v>
      </c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0</v>
      </c>
      <c r="J24">
        <f t="shared" si="5"/>
        <v>0</v>
      </c>
    </row>
    <row r="25" spans="1:10" x14ac:dyDescent="0.25">
      <c r="A25" s="6"/>
      <c r="B25">
        <f t="shared" ref="B25:J28" si="6">B20*1000</f>
        <v>1.4434296436593146</v>
      </c>
      <c r="C25">
        <f t="shared" si="6"/>
        <v>14.212230337568673</v>
      </c>
      <c r="D25">
        <f t="shared" si="6"/>
        <v>3.9971897824411897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x14ac:dyDescent="0.25">
      <c r="A26" s="6"/>
      <c r="B26">
        <f t="shared" si="6"/>
        <v>0.22206609902451052</v>
      </c>
      <c r="C26">
        <f t="shared" si="6"/>
        <v>9.474820225045784</v>
      </c>
      <c r="D26">
        <f t="shared" si="6"/>
        <v>0</v>
      </c>
      <c r="E26">
        <f t="shared" si="6"/>
        <v>0</v>
      </c>
      <c r="F26">
        <f t="shared" si="6"/>
        <v>7.7106284383510619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x14ac:dyDescent="0.25">
      <c r="A27" s="6"/>
      <c r="B27">
        <f t="shared" si="6"/>
        <v>0.12337005501361696</v>
      </c>
      <c r="C27">
        <f t="shared" si="6"/>
        <v>2.3687050562614456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x14ac:dyDescent="0.25">
      <c r="A28" s="6"/>
      <c r="B28">
        <f t="shared" si="6"/>
        <v>0.61685027506808487</v>
      </c>
      <c r="C28">
        <f t="shared" si="6"/>
        <v>1.5791367041742972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x14ac:dyDescent="0.25">
      <c r="A29" s="4" t="s">
        <v>18</v>
      </c>
      <c r="B29">
        <f>B24/2</f>
        <v>3.4677842188120116</v>
      </c>
      <c r="C29">
        <f t="shared" ref="C29:J29" si="7">C24/2</f>
        <v>6.9926045547311784</v>
      </c>
      <c r="D29">
        <f t="shared" si="7"/>
        <v>5.4655656762735605</v>
      </c>
      <c r="E29">
        <f t="shared" si="7"/>
        <v>9.7380318881671553</v>
      </c>
      <c r="F29">
        <f t="shared" si="7"/>
        <v>0</v>
      </c>
      <c r="G29">
        <f t="shared" si="7"/>
        <v>0</v>
      </c>
      <c r="H29">
        <f t="shared" si="7"/>
        <v>0</v>
      </c>
      <c r="I29">
        <f t="shared" si="7"/>
        <v>0</v>
      </c>
      <c r="J29">
        <f t="shared" si="7"/>
        <v>0</v>
      </c>
    </row>
    <row r="30" spans="1:10" x14ac:dyDescent="0.25">
      <c r="A30" s="6"/>
      <c r="B30">
        <f t="shared" ref="B30:J33" si="8">B25/2</f>
        <v>0.72171482182965729</v>
      </c>
      <c r="C30">
        <f t="shared" si="8"/>
        <v>7.1061151687843367</v>
      </c>
      <c r="D30">
        <f t="shared" si="8"/>
        <v>1.9985948912205949</v>
      </c>
      <c r="E30">
        <f t="shared" si="8"/>
        <v>0</v>
      </c>
      <c r="F30">
        <f t="shared" si="8"/>
        <v>0</v>
      </c>
      <c r="G30">
        <f t="shared" si="8"/>
        <v>0</v>
      </c>
      <c r="H30">
        <f t="shared" si="8"/>
        <v>0</v>
      </c>
      <c r="I30">
        <f t="shared" si="8"/>
        <v>0</v>
      </c>
      <c r="J30">
        <f t="shared" si="8"/>
        <v>0</v>
      </c>
    </row>
    <row r="31" spans="1:10" x14ac:dyDescent="0.25">
      <c r="A31" s="6"/>
      <c r="B31">
        <f t="shared" si="8"/>
        <v>0.11103304951225526</v>
      </c>
      <c r="C31">
        <f t="shared" si="8"/>
        <v>4.737410112522892</v>
      </c>
      <c r="D31">
        <f t="shared" si="8"/>
        <v>0</v>
      </c>
      <c r="E31">
        <f t="shared" si="8"/>
        <v>0</v>
      </c>
      <c r="F31">
        <f t="shared" si="8"/>
        <v>3.855314219175531</v>
      </c>
      <c r="G31">
        <f t="shared" si="8"/>
        <v>0</v>
      </c>
      <c r="H31">
        <f t="shared" si="8"/>
        <v>0</v>
      </c>
      <c r="I31">
        <f t="shared" si="8"/>
        <v>0</v>
      </c>
      <c r="J31">
        <f t="shared" si="8"/>
        <v>0</v>
      </c>
    </row>
    <row r="32" spans="1:10" x14ac:dyDescent="0.25">
      <c r="A32" s="6"/>
      <c r="B32">
        <f t="shared" si="8"/>
        <v>6.1685027506808481E-2</v>
      </c>
      <c r="C32">
        <f t="shared" si="8"/>
        <v>1.1843525281307228</v>
      </c>
      <c r="D32">
        <f t="shared" si="8"/>
        <v>0</v>
      </c>
      <c r="E32">
        <f t="shared" si="8"/>
        <v>0</v>
      </c>
      <c r="F32">
        <f t="shared" si="8"/>
        <v>0</v>
      </c>
      <c r="G32">
        <f t="shared" si="8"/>
        <v>0</v>
      </c>
      <c r="H32">
        <f t="shared" si="8"/>
        <v>0</v>
      </c>
      <c r="I32">
        <f t="shared" si="8"/>
        <v>0</v>
      </c>
      <c r="J32">
        <f t="shared" si="8"/>
        <v>0</v>
      </c>
    </row>
    <row r="33" spans="1:10" x14ac:dyDescent="0.25">
      <c r="A33" s="6"/>
      <c r="B33">
        <f t="shared" si="8"/>
        <v>0.30842513753404244</v>
      </c>
      <c r="C33">
        <f t="shared" si="8"/>
        <v>0.78956835208714859</v>
      </c>
      <c r="D33">
        <f t="shared" si="8"/>
        <v>0</v>
      </c>
      <c r="E33">
        <f t="shared" si="8"/>
        <v>0</v>
      </c>
      <c r="F33">
        <f t="shared" si="8"/>
        <v>0</v>
      </c>
      <c r="G33">
        <f t="shared" si="8"/>
        <v>0</v>
      </c>
      <c r="H33">
        <f t="shared" si="8"/>
        <v>0</v>
      </c>
      <c r="I33">
        <f t="shared" si="8"/>
        <v>0</v>
      </c>
      <c r="J33">
        <f t="shared" si="8"/>
        <v>0</v>
      </c>
    </row>
    <row r="34" spans="1:10" x14ac:dyDescent="0.25">
      <c r="A34" s="4" t="s">
        <v>20</v>
      </c>
      <c r="B34" s="7">
        <f>SUM(B29:J29)</f>
        <v>25.663986337983907</v>
      </c>
    </row>
    <row r="35" spans="1:10" x14ac:dyDescent="0.25">
      <c r="A35" s="6"/>
      <c r="B35" s="7">
        <f t="shared" ref="B35:B38" si="9">SUM(B30:J30)</f>
        <v>9.8264248818345887</v>
      </c>
    </row>
    <row r="36" spans="1:10" x14ac:dyDescent="0.25">
      <c r="A36" s="6"/>
      <c r="B36" s="7">
        <f t="shared" si="9"/>
        <v>8.7037573812106785</v>
      </c>
    </row>
    <row r="37" spans="1:10" x14ac:dyDescent="0.25">
      <c r="A37" s="6"/>
      <c r="B37" s="7">
        <f t="shared" si="9"/>
        <v>1.2460375556375312</v>
      </c>
    </row>
    <row r="38" spans="1:10" x14ac:dyDescent="0.25">
      <c r="A38" s="6"/>
      <c r="B38" s="7">
        <f t="shared" si="9"/>
        <v>1.0979934896211909</v>
      </c>
    </row>
    <row r="40" spans="1:10" x14ac:dyDescent="0.25">
      <c r="A40" s="3" t="s">
        <v>0</v>
      </c>
      <c r="B40" s="1" t="s">
        <v>1</v>
      </c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2" t="s">
        <v>2</v>
      </c>
      <c r="B41" s="3">
        <v>1</v>
      </c>
      <c r="C41" s="3">
        <v>2</v>
      </c>
      <c r="D41" s="3">
        <v>3</v>
      </c>
      <c r="E41" s="3">
        <v>4</v>
      </c>
      <c r="F41" s="3">
        <v>5</v>
      </c>
      <c r="G41" s="3">
        <v>6</v>
      </c>
      <c r="H41" s="3">
        <v>7</v>
      </c>
      <c r="I41" s="3">
        <v>8</v>
      </c>
      <c r="J41" s="3">
        <v>9</v>
      </c>
    </row>
    <row r="42" spans="1:10" x14ac:dyDescent="0.25">
      <c r="A42" s="4" t="s">
        <v>3</v>
      </c>
      <c r="B42">
        <v>13</v>
      </c>
      <c r="C42">
        <v>9</v>
      </c>
      <c r="D42">
        <v>4</v>
      </c>
      <c r="E42">
        <v>5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s="5" t="s">
        <v>4</v>
      </c>
      <c r="B43">
        <v>9</v>
      </c>
      <c r="C43">
        <v>8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</row>
    <row r="44" spans="1:10" x14ac:dyDescent="0.25">
      <c r="A44" s="4" t="s">
        <v>5</v>
      </c>
      <c r="B44">
        <v>2</v>
      </c>
      <c r="C44">
        <v>6</v>
      </c>
      <c r="D44">
        <v>0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s="4" t="s">
        <v>6</v>
      </c>
      <c r="B45">
        <v>5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s="4" t="s">
        <v>7</v>
      </c>
      <c r="B46">
        <v>10</v>
      </c>
      <c r="C46">
        <v>4</v>
      </c>
      <c r="D46">
        <v>0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</row>
    <row r="47" spans="1:10" x14ac:dyDescent="0.25">
      <c r="A47" s="6"/>
      <c r="B47">
        <f>((-8.145)*LN(B41))+19.347</f>
        <v>19.347000000000001</v>
      </c>
      <c r="C47">
        <f t="shared" ref="C47:J47" si="10">((-8.145)*LN(C41))+19.347</f>
        <v>13.701316214339247</v>
      </c>
      <c r="D47">
        <f t="shared" si="10"/>
        <v>10.398802908798247</v>
      </c>
      <c r="E47">
        <f t="shared" si="10"/>
        <v>8.0556324286784928</v>
      </c>
      <c r="F47">
        <f t="shared" si="10"/>
        <v>6.2381282032242549</v>
      </c>
      <c r="G47">
        <f t="shared" si="10"/>
        <v>4.7531191231374947</v>
      </c>
      <c r="H47">
        <f t="shared" si="10"/>
        <v>3.4975618359444756</v>
      </c>
      <c r="I47">
        <f t="shared" si="10"/>
        <v>2.4099486430177386</v>
      </c>
      <c r="J47">
        <f t="shared" si="10"/>
        <v>1.4506058175964931</v>
      </c>
    </row>
    <row r="48" spans="1:10" x14ac:dyDescent="0.25">
      <c r="A48" s="4" t="s">
        <v>8</v>
      </c>
      <c r="B48">
        <v>11.780972450961723</v>
      </c>
      <c r="C48">
        <v>3.1415926535897931</v>
      </c>
      <c r="D48">
        <v>7.0685834705770345</v>
      </c>
      <c r="E48">
        <v>0</v>
      </c>
      <c r="F48">
        <v>0</v>
      </c>
      <c r="G48">
        <v>0</v>
      </c>
      <c r="H48">
        <v>76.969020012949926</v>
      </c>
      <c r="I48">
        <v>0</v>
      </c>
      <c r="J48">
        <v>0</v>
      </c>
    </row>
    <row r="49" spans="1:10" x14ac:dyDescent="0.25">
      <c r="A49" s="6"/>
      <c r="B49">
        <v>1.5707963267948966</v>
      </c>
      <c r="C49">
        <v>6.2831853071795862</v>
      </c>
      <c r="D49">
        <v>14.137166941154069</v>
      </c>
      <c r="E49">
        <v>12.566370614359172</v>
      </c>
      <c r="F49">
        <v>19.634954084936208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s="6"/>
      <c r="B50">
        <v>1.5707963267948966</v>
      </c>
      <c r="C50">
        <v>0</v>
      </c>
      <c r="D50">
        <v>7.0685834705770345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s="6"/>
      <c r="B51">
        <v>0.78539816339744828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s="6"/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s="6" t="s">
        <v>9</v>
      </c>
      <c r="B53">
        <f>B48/50000</f>
        <v>2.3561944901923445E-4</v>
      </c>
      <c r="C53">
        <f t="shared" ref="C53:J53" si="11">C48/50000</f>
        <v>6.2831853071795856E-5</v>
      </c>
      <c r="D53">
        <f t="shared" si="11"/>
        <v>1.4137166941154068E-4</v>
      </c>
      <c r="E53">
        <f t="shared" si="11"/>
        <v>0</v>
      </c>
      <c r="F53">
        <f t="shared" si="11"/>
        <v>0</v>
      </c>
      <c r="G53">
        <f t="shared" si="11"/>
        <v>0</v>
      </c>
      <c r="H53">
        <f t="shared" si="11"/>
        <v>1.5393804002589986E-3</v>
      </c>
      <c r="I53">
        <f t="shared" si="11"/>
        <v>0</v>
      </c>
      <c r="J53">
        <f t="shared" si="11"/>
        <v>0</v>
      </c>
    </row>
    <row r="54" spans="1:10" x14ac:dyDescent="0.25">
      <c r="A54" s="6"/>
      <c r="B54">
        <f t="shared" ref="B54:J57" si="12">B49/50000</f>
        <v>3.1415926535897928E-5</v>
      </c>
      <c r="C54">
        <f t="shared" si="12"/>
        <v>1.2566370614359171E-4</v>
      </c>
      <c r="D54">
        <f t="shared" si="12"/>
        <v>2.8274333882308137E-4</v>
      </c>
      <c r="E54">
        <f t="shared" si="12"/>
        <v>2.5132741228718343E-4</v>
      </c>
      <c r="F54">
        <f t="shared" si="12"/>
        <v>3.9269908169872416E-4</v>
      </c>
      <c r="G54">
        <f t="shared" si="12"/>
        <v>0</v>
      </c>
      <c r="H54">
        <f t="shared" si="12"/>
        <v>0</v>
      </c>
      <c r="I54">
        <f t="shared" si="12"/>
        <v>0</v>
      </c>
      <c r="J54">
        <f t="shared" si="12"/>
        <v>0</v>
      </c>
    </row>
    <row r="55" spans="1:10" x14ac:dyDescent="0.25">
      <c r="A55" s="6"/>
      <c r="B55">
        <f t="shared" si="12"/>
        <v>3.1415926535897928E-5</v>
      </c>
      <c r="C55">
        <f t="shared" si="12"/>
        <v>0</v>
      </c>
      <c r="D55">
        <f t="shared" si="12"/>
        <v>1.4137166941154068E-4</v>
      </c>
      <c r="E55">
        <f t="shared" si="12"/>
        <v>0</v>
      </c>
      <c r="F55">
        <f t="shared" si="12"/>
        <v>0</v>
      </c>
      <c r="G55">
        <f t="shared" si="12"/>
        <v>0</v>
      </c>
      <c r="H55">
        <f t="shared" si="12"/>
        <v>0</v>
      </c>
      <c r="I55">
        <f t="shared" si="12"/>
        <v>0</v>
      </c>
      <c r="J55">
        <f t="shared" si="12"/>
        <v>0</v>
      </c>
    </row>
    <row r="56" spans="1:10" x14ac:dyDescent="0.25">
      <c r="A56" s="6"/>
      <c r="B56">
        <f t="shared" si="12"/>
        <v>1.5707963267948964E-5</v>
      </c>
      <c r="C56">
        <f t="shared" si="12"/>
        <v>0</v>
      </c>
      <c r="D56">
        <f t="shared" si="12"/>
        <v>0</v>
      </c>
      <c r="E56">
        <f t="shared" si="12"/>
        <v>0</v>
      </c>
      <c r="F56">
        <f t="shared" si="12"/>
        <v>0</v>
      </c>
      <c r="G56">
        <f t="shared" si="12"/>
        <v>0</v>
      </c>
      <c r="H56">
        <f t="shared" si="12"/>
        <v>0</v>
      </c>
      <c r="I56">
        <f t="shared" si="12"/>
        <v>0</v>
      </c>
      <c r="J56">
        <f t="shared" si="12"/>
        <v>0</v>
      </c>
    </row>
    <row r="57" spans="1:10" x14ac:dyDescent="0.25">
      <c r="A57" s="6"/>
      <c r="B57">
        <f t="shared" si="12"/>
        <v>0</v>
      </c>
      <c r="C57">
        <f t="shared" si="12"/>
        <v>0</v>
      </c>
      <c r="D57">
        <f t="shared" si="12"/>
        <v>0</v>
      </c>
      <c r="E57">
        <f t="shared" si="12"/>
        <v>0</v>
      </c>
      <c r="F57">
        <f t="shared" si="12"/>
        <v>0</v>
      </c>
      <c r="G57">
        <f t="shared" si="12"/>
        <v>0</v>
      </c>
      <c r="H57">
        <f t="shared" si="12"/>
        <v>0</v>
      </c>
      <c r="I57">
        <f t="shared" si="12"/>
        <v>0</v>
      </c>
      <c r="J57">
        <f t="shared" si="12"/>
        <v>0</v>
      </c>
    </row>
    <row r="58" spans="1:10" x14ac:dyDescent="0.25">
      <c r="A58" s="4" t="s">
        <v>10</v>
      </c>
      <c r="B58">
        <f>B47*B53</f>
        <v>4.5585294801751292E-3</v>
      </c>
      <c r="C58">
        <f t="shared" ref="C58:J58" si="13">C47*C53</f>
        <v>8.6087908726957779E-4</v>
      </c>
      <c r="D58">
        <f t="shared" si="13"/>
        <v>1.4700961270983934E-3</v>
      </c>
      <c r="E58">
        <f t="shared" si="13"/>
        <v>0</v>
      </c>
      <c r="F58">
        <f t="shared" si="13"/>
        <v>0</v>
      </c>
      <c r="G58">
        <f t="shared" si="13"/>
        <v>0</v>
      </c>
      <c r="H58">
        <f t="shared" si="13"/>
        <v>5.3840781389468051E-3</v>
      </c>
      <c r="I58">
        <f t="shared" si="13"/>
        <v>0</v>
      </c>
      <c r="J58">
        <f t="shared" si="13"/>
        <v>0</v>
      </c>
    </row>
    <row r="59" spans="1:10" x14ac:dyDescent="0.25">
      <c r="A59" s="6"/>
      <c r="B59">
        <f t="shared" ref="B59:J62" si="14">B48*B54</f>
        <v>3.7011016504085088E-4</v>
      </c>
      <c r="C59">
        <f t="shared" si="14"/>
        <v>3.9478417604357427E-4</v>
      </c>
      <c r="D59">
        <f t="shared" si="14"/>
        <v>1.998594891220595E-3</v>
      </c>
      <c r="E59">
        <f t="shared" si="14"/>
        <v>0</v>
      </c>
      <c r="F59">
        <f t="shared" si="14"/>
        <v>0</v>
      </c>
      <c r="G59">
        <f t="shared" si="14"/>
        <v>0</v>
      </c>
      <c r="H59">
        <f t="shared" si="14"/>
        <v>0</v>
      </c>
      <c r="I59">
        <f t="shared" si="14"/>
        <v>0</v>
      </c>
      <c r="J59">
        <f t="shared" si="14"/>
        <v>0</v>
      </c>
    </row>
    <row r="60" spans="1:10" x14ac:dyDescent="0.25">
      <c r="A60" s="6"/>
      <c r="B60">
        <f t="shared" si="14"/>
        <v>4.9348022005446784E-5</v>
      </c>
      <c r="C60">
        <f t="shared" si="14"/>
        <v>0</v>
      </c>
      <c r="D60">
        <f t="shared" si="14"/>
        <v>1.998594891220595E-3</v>
      </c>
      <c r="E60">
        <f t="shared" si="14"/>
        <v>0</v>
      </c>
      <c r="F60">
        <f t="shared" si="14"/>
        <v>0</v>
      </c>
      <c r="G60">
        <f t="shared" si="14"/>
        <v>0</v>
      </c>
      <c r="H60">
        <f t="shared" si="14"/>
        <v>0</v>
      </c>
      <c r="I60">
        <f t="shared" si="14"/>
        <v>0</v>
      </c>
      <c r="J60">
        <f t="shared" si="14"/>
        <v>0</v>
      </c>
    </row>
    <row r="61" spans="1:10" x14ac:dyDescent="0.25">
      <c r="A61" s="6"/>
      <c r="B61">
        <f t="shared" si="14"/>
        <v>2.4674011002723392E-5</v>
      </c>
      <c r="C61">
        <f t="shared" si="14"/>
        <v>0</v>
      </c>
      <c r="D61">
        <f t="shared" si="14"/>
        <v>0</v>
      </c>
      <c r="E61">
        <f t="shared" si="14"/>
        <v>0</v>
      </c>
      <c r="F61">
        <f t="shared" si="14"/>
        <v>0</v>
      </c>
      <c r="G61">
        <f t="shared" si="14"/>
        <v>0</v>
      </c>
      <c r="H61">
        <f t="shared" si="14"/>
        <v>0</v>
      </c>
      <c r="I61">
        <f t="shared" si="14"/>
        <v>0</v>
      </c>
      <c r="J61">
        <f t="shared" si="14"/>
        <v>0</v>
      </c>
    </row>
    <row r="62" spans="1:10" x14ac:dyDescent="0.25">
      <c r="A62" s="6"/>
      <c r="B62">
        <f t="shared" si="14"/>
        <v>0</v>
      </c>
      <c r="C62">
        <f t="shared" si="14"/>
        <v>0</v>
      </c>
      <c r="D62">
        <f t="shared" si="14"/>
        <v>0</v>
      </c>
      <c r="E62">
        <f t="shared" si="14"/>
        <v>0</v>
      </c>
      <c r="F62">
        <f t="shared" si="14"/>
        <v>0</v>
      </c>
      <c r="G62">
        <f t="shared" si="14"/>
        <v>0</v>
      </c>
      <c r="H62">
        <f t="shared" si="14"/>
        <v>0</v>
      </c>
      <c r="I62">
        <f t="shared" si="14"/>
        <v>0</v>
      </c>
      <c r="J62">
        <f t="shared" si="14"/>
        <v>0</v>
      </c>
    </row>
    <row r="63" spans="1:10" x14ac:dyDescent="0.25">
      <c r="A63" s="4" t="s">
        <v>11</v>
      </c>
      <c r="B63">
        <f>B58*1000</f>
        <v>4.558529480175129</v>
      </c>
      <c r="C63">
        <f t="shared" ref="C63:J63" si="15">C58*1000</f>
        <v>0.86087908726957774</v>
      </c>
      <c r="D63">
        <f t="shared" si="15"/>
        <v>1.4700961270983934</v>
      </c>
      <c r="E63">
        <f t="shared" si="15"/>
        <v>0</v>
      </c>
      <c r="F63">
        <f t="shared" si="15"/>
        <v>0</v>
      </c>
      <c r="G63">
        <f t="shared" si="15"/>
        <v>0</v>
      </c>
      <c r="H63">
        <f t="shared" si="15"/>
        <v>5.3840781389468049</v>
      </c>
      <c r="I63">
        <f t="shared" si="15"/>
        <v>0</v>
      </c>
      <c r="J63">
        <f t="shared" si="15"/>
        <v>0</v>
      </c>
    </row>
    <row r="64" spans="1:10" x14ac:dyDescent="0.25">
      <c r="A64" s="6"/>
      <c r="B64">
        <f t="shared" ref="B64:J67" si="16">B59*1000</f>
        <v>0.37011016504085087</v>
      </c>
      <c r="C64">
        <f t="shared" si="16"/>
        <v>0.3947841760435743</v>
      </c>
      <c r="D64">
        <f t="shared" si="16"/>
        <v>1.9985948912205949</v>
      </c>
      <c r="E64">
        <f t="shared" si="16"/>
        <v>0</v>
      </c>
      <c r="F64">
        <f t="shared" si="16"/>
        <v>0</v>
      </c>
      <c r="G64">
        <f t="shared" si="16"/>
        <v>0</v>
      </c>
      <c r="H64">
        <f t="shared" si="16"/>
        <v>0</v>
      </c>
      <c r="I64">
        <f t="shared" si="16"/>
        <v>0</v>
      </c>
      <c r="J64">
        <f t="shared" si="16"/>
        <v>0</v>
      </c>
    </row>
    <row r="65" spans="1:10" x14ac:dyDescent="0.25">
      <c r="A65" s="6"/>
      <c r="B65">
        <f t="shared" si="16"/>
        <v>4.9348022005446787E-2</v>
      </c>
      <c r="C65">
        <f t="shared" si="16"/>
        <v>0</v>
      </c>
      <c r="D65">
        <f t="shared" si="16"/>
        <v>1.9985948912205949</v>
      </c>
      <c r="E65">
        <f t="shared" si="16"/>
        <v>0</v>
      </c>
      <c r="F65">
        <f t="shared" si="16"/>
        <v>0</v>
      </c>
      <c r="G65">
        <f t="shared" si="16"/>
        <v>0</v>
      </c>
      <c r="H65">
        <f t="shared" si="16"/>
        <v>0</v>
      </c>
      <c r="I65">
        <f t="shared" si="16"/>
        <v>0</v>
      </c>
      <c r="J65">
        <f t="shared" si="16"/>
        <v>0</v>
      </c>
    </row>
    <row r="66" spans="1:10" x14ac:dyDescent="0.25">
      <c r="A66" s="6"/>
      <c r="B66">
        <f t="shared" si="16"/>
        <v>2.4674011002723394E-2</v>
      </c>
      <c r="C66">
        <f t="shared" si="16"/>
        <v>0</v>
      </c>
      <c r="D66">
        <f t="shared" si="16"/>
        <v>0</v>
      </c>
      <c r="E66">
        <f t="shared" si="16"/>
        <v>0</v>
      </c>
      <c r="F66">
        <f t="shared" si="16"/>
        <v>0</v>
      </c>
      <c r="G66">
        <f t="shared" si="16"/>
        <v>0</v>
      </c>
      <c r="H66">
        <f t="shared" si="16"/>
        <v>0</v>
      </c>
      <c r="I66">
        <f t="shared" si="16"/>
        <v>0</v>
      </c>
      <c r="J66">
        <f t="shared" si="16"/>
        <v>0</v>
      </c>
    </row>
    <row r="67" spans="1:10" x14ac:dyDescent="0.25">
      <c r="A67" s="6"/>
      <c r="B67">
        <f t="shared" si="16"/>
        <v>0</v>
      </c>
      <c r="C67">
        <f t="shared" si="16"/>
        <v>0</v>
      </c>
      <c r="D67">
        <f t="shared" si="16"/>
        <v>0</v>
      </c>
      <c r="E67">
        <f t="shared" si="16"/>
        <v>0</v>
      </c>
      <c r="F67">
        <f t="shared" si="16"/>
        <v>0</v>
      </c>
      <c r="G67">
        <f t="shared" si="16"/>
        <v>0</v>
      </c>
      <c r="H67">
        <f t="shared" si="16"/>
        <v>0</v>
      </c>
      <c r="I67">
        <f t="shared" si="16"/>
        <v>0</v>
      </c>
      <c r="J67">
        <f t="shared" si="16"/>
        <v>0</v>
      </c>
    </row>
    <row r="68" spans="1:10" x14ac:dyDescent="0.25">
      <c r="A68" s="4" t="s">
        <v>12</v>
      </c>
      <c r="B68">
        <f>B63/2</f>
        <v>2.2792647400875645</v>
      </c>
      <c r="C68">
        <f t="shared" ref="C68:J68" si="17">C63/2</f>
        <v>0.43043954363478887</v>
      </c>
      <c r="D68">
        <f t="shared" si="17"/>
        <v>0.73504806354919672</v>
      </c>
      <c r="E68">
        <f t="shared" si="17"/>
        <v>0</v>
      </c>
      <c r="F68">
        <f t="shared" si="17"/>
        <v>0</v>
      </c>
      <c r="G68">
        <f t="shared" si="17"/>
        <v>0</v>
      </c>
      <c r="H68">
        <f t="shared" si="17"/>
        <v>2.6920390694734024</v>
      </c>
      <c r="I68">
        <f t="shared" si="17"/>
        <v>0</v>
      </c>
      <c r="J68">
        <f t="shared" si="17"/>
        <v>0</v>
      </c>
    </row>
    <row r="69" spans="1:10" x14ac:dyDescent="0.25">
      <c r="A69" s="6"/>
      <c r="B69">
        <f t="shared" ref="B69:J72" si="18">B64/2</f>
        <v>0.18505508252042543</v>
      </c>
      <c r="C69">
        <f t="shared" si="18"/>
        <v>0.19739208802178715</v>
      </c>
      <c r="D69">
        <f t="shared" si="18"/>
        <v>0.99929744561029743</v>
      </c>
      <c r="E69">
        <f t="shared" si="18"/>
        <v>0</v>
      </c>
      <c r="F69">
        <f t="shared" si="18"/>
        <v>0</v>
      </c>
      <c r="G69">
        <f t="shared" si="18"/>
        <v>0</v>
      </c>
      <c r="H69">
        <f t="shared" si="18"/>
        <v>0</v>
      </c>
      <c r="I69">
        <f t="shared" si="18"/>
        <v>0</v>
      </c>
      <c r="J69">
        <f t="shared" si="18"/>
        <v>0</v>
      </c>
    </row>
    <row r="70" spans="1:10" x14ac:dyDescent="0.25">
      <c r="A70" s="6"/>
      <c r="B70">
        <f t="shared" si="18"/>
        <v>2.4674011002723394E-2</v>
      </c>
      <c r="C70">
        <f t="shared" si="18"/>
        <v>0</v>
      </c>
      <c r="D70">
        <f t="shared" si="18"/>
        <v>0.99929744561029743</v>
      </c>
      <c r="E70">
        <f t="shared" si="18"/>
        <v>0</v>
      </c>
      <c r="F70">
        <f t="shared" si="18"/>
        <v>0</v>
      </c>
      <c r="G70">
        <f t="shared" si="18"/>
        <v>0</v>
      </c>
      <c r="H70">
        <f t="shared" si="18"/>
        <v>0</v>
      </c>
      <c r="I70">
        <f t="shared" si="18"/>
        <v>0</v>
      </c>
      <c r="J70">
        <f t="shared" si="18"/>
        <v>0</v>
      </c>
    </row>
    <row r="71" spans="1:10" x14ac:dyDescent="0.25">
      <c r="A71" s="6"/>
      <c r="B71">
        <f t="shared" si="18"/>
        <v>1.2337005501361697E-2</v>
      </c>
      <c r="C71">
        <f t="shared" si="18"/>
        <v>0</v>
      </c>
      <c r="D71">
        <f t="shared" si="18"/>
        <v>0</v>
      </c>
      <c r="E71">
        <f t="shared" si="18"/>
        <v>0</v>
      </c>
      <c r="F71">
        <f t="shared" si="18"/>
        <v>0</v>
      </c>
      <c r="G71">
        <f t="shared" si="18"/>
        <v>0</v>
      </c>
      <c r="H71">
        <f t="shared" si="18"/>
        <v>0</v>
      </c>
      <c r="I71">
        <f t="shared" si="18"/>
        <v>0</v>
      </c>
      <c r="J71">
        <f t="shared" si="18"/>
        <v>0</v>
      </c>
    </row>
    <row r="72" spans="1:10" x14ac:dyDescent="0.25">
      <c r="A72" s="6"/>
      <c r="B72">
        <f t="shared" si="18"/>
        <v>0</v>
      </c>
      <c r="C72">
        <f t="shared" si="18"/>
        <v>0</v>
      </c>
      <c r="D72">
        <f t="shared" si="18"/>
        <v>0</v>
      </c>
      <c r="E72">
        <f t="shared" si="18"/>
        <v>0</v>
      </c>
      <c r="F72">
        <f t="shared" si="18"/>
        <v>0</v>
      </c>
      <c r="G72">
        <f t="shared" si="18"/>
        <v>0</v>
      </c>
      <c r="H72">
        <f t="shared" si="18"/>
        <v>0</v>
      </c>
      <c r="I72">
        <f t="shared" si="18"/>
        <v>0</v>
      </c>
      <c r="J72">
        <f t="shared" si="18"/>
        <v>0</v>
      </c>
    </row>
    <row r="73" spans="1:10" x14ac:dyDescent="0.25">
      <c r="A73" s="4" t="s">
        <v>19</v>
      </c>
      <c r="B73" s="7">
        <f>SUM(B68:J68)</f>
        <v>6.1367914167449529</v>
      </c>
    </row>
    <row r="74" spans="1:10" x14ac:dyDescent="0.25">
      <c r="A74" s="6"/>
      <c r="B74" s="7">
        <f t="shared" ref="B74:B77" si="19">SUM(B69:J69)</f>
        <v>1.38174461615251</v>
      </c>
    </row>
    <row r="75" spans="1:10" x14ac:dyDescent="0.25">
      <c r="A75" s="6"/>
      <c r="B75" s="7">
        <f t="shared" si="19"/>
        <v>1.0239714566130209</v>
      </c>
    </row>
    <row r="76" spans="1:10" x14ac:dyDescent="0.25">
      <c r="A76" s="6"/>
      <c r="B76" s="7">
        <f t="shared" si="19"/>
        <v>1.2337005501361697E-2</v>
      </c>
    </row>
    <row r="77" spans="1:10" x14ac:dyDescent="0.25">
      <c r="A77" s="6"/>
      <c r="B77" s="7">
        <f t="shared" si="19"/>
        <v>0</v>
      </c>
    </row>
    <row r="79" spans="1:10" x14ac:dyDescent="0.25">
      <c r="A79" s="3" t="s">
        <v>21</v>
      </c>
      <c r="B79" s="1" t="s">
        <v>1</v>
      </c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2" t="s">
        <v>2</v>
      </c>
      <c r="B80" s="3">
        <v>1</v>
      </c>
      <c r="C80" s="3">
        <v>2</v>
      </c>
      <c r="D80" s="3">
        <v>3</v>
      </c>
      <c r="E80" s="3">
        <v>4</v>
      </c>
      <c r="F80" s="3">
        <v>5</v>
      </c>
      <c r="G80" s="3">
        <v>6</v>
      </c>
      <c r="H80" s="3">
        <v>7</v>
      </c>
      <c r="I80" s="3">
        <v>8</v>
      </c>
      <c r="J80" s="3">
        <v>9</v>
      </c>
    </row>
    <row r="81" spans="1:10" x14ac:dyDescent="0.25">
      <c r="A81" s="4" t="s">
        <v>3</v>
      </c>
      <c r="B81">
        <v>13</v>
      </c>
      <c r="C81">
        <v>9</v>
      </c>
      <c r="D81">
        <v>4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s="5" t="s">
        <v>4</v>
      </c>
      <c r="B82">
        <v>9</v>
      </c>
      <c r="C82">
        <v>8</v>
      </c>
      <c r="D82">
        <v>1</v>
      </c>
      <c r="E82">
        <v>0</v>
      </c>
      <c r="F82">
        <v>1</v>
      </c>
      <c r="G82">
        <v>1</v>
      </c>
      <c r="H82">
        <v>0</v>
      </c>
      <c r="I82">
        <v>0</v>
      </c>
      <c r="J82">
        <v>0</v>
      </c>
    </row>
    <row r="83" spans="1:10" x14ac:dyDescent="0.25">
      <c r="A83" s="4" t="s">
        <v>5</v>
      </c>
      <c r="B83">
        <v>2</v>
      </c>
      <c r="C83">
        <v>6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s="4" t="s">
        <v>6</v>
      </c>
      <c r="B84">
        <v>5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s="4" t="s">
        <v>7</v>
      </c>
      <c r="B85">
        <v>10</v>
      </c>
      <c r="C85">
        <v>4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  <c r="J85">
        <v>0</v>
      </c>
    </row>
    <row r="86" spans="1:10" x14ac:dyDescent="0.25">
      <c r="A86" s="6"/>
      <c r="B86">
        <f>((2.4369)*LN(B80))+6.2051</f>
        <v>6.2050999999999998</v>
      </c>
      <c r="C86">
        <f t="shared" ref="C86:J86" si="20">((2.4369)*LN(C80))+6.2051</f>
        <v>7.8942303643065301</v>
      </c>
      <c r="D86">
        <f t="shared" si="20"/>
        <v>8.8823082862553164</v>
      </c>
      <c r="E86">
        <f t="shared" si="20"/>
        <v>9.5833607286130622</v>
      </c>
      <c r="F86">
        <f t="shared" si="20"/>
        <v>10.127139248810659</v>
      </c>
      <c r="G86">
        <f t="shared" si="20"/>
        <v>10.571438650561847</v>
      </c>
      <c r="H86">
        <f t="shared" si="20"/>
        <v>10.947088442232893</v>
      </c>
      <c r="I86">
        <f t="shared" si="20"/>
        <v>11.272491092919591</v>
      </c>
      <c r="J86">
        <f t="shared" si="20"/>
        <v>11.559516572510633</v>
      </c>
    </row>
    <row r="87" spans="1:10" x14ac:dyDescent="0.25">
      <c r="A87" s="4" t="s">
        <v>8</v>
      </c>
      <c r="B87">
        <v>2.35619449019234</v>
      </c>
      <c r="C87">
        <v>3.1415926535897931</v>
      </c>
      <c r="D87">
        <v>7.0685834705770345</v>
      </c>
      <c r="E87">
        <v>0</v>
      </c>
      <c r="F87">
        <v>0</v>
      </c>
      <c r="G87">
        <v>28.274333882308138</v>
      </c>
      <c r="H87">
        <v>0</v>
      </c>
      <c r="I87">
        <v>0</v>
      </c>
      <c r="J87">
        <v>0</v>
      </c>
    </row>
    <row r="88" spans="1:10" x14ac:dyDescent="0.25">
      <c r="A88" s="6"/>
      <c r="B88">
        <v>7.8539816339744828</v>
      </c>
      <c r="C88">
        <v>21.991148575128552</v>
      </c>
      <c r="D88">
        <v>21.205750411731103</v>
      </c>
      <c r="E88">
        <v>0</v>
      </c>
      <c r="F88">
        <v>19.634954084936208</v>
      </c>
      <c r="G88">
        <v>28.274333882308138</v>
      </c>
      <c r="H88">
        <v>0</v>
      </c>
      <c r="I88">
        <v>0</v>
      </c>
      <c r="J88">
        <v>0</v>
      </c>
    </row>
    <row r="89" spans="1:10" x14ac:dyDescent="0.25">
      <c r="A89" s="6"/>
      <c r="B89">
        <v>12.566370614359172</v>
      </c>
      <c r="C89">
        <v>18.849555921538759</v>
      </c>
      <c r="D89">
        <v>0</v>
      </c>
      <c r="E89">
        <v>12.566370614359172</v>
      </c>
      <c r="F89">
        <v>58.90486225480862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s="6"/>
      <c r="B90">
        <v>5.497787143782138</v>
      </c>
      <c r="C90">
        <v>12.566370614359172</v>
      </c>
      <c r="D90">
        <v>14.137166941154069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s="6"/>
      <c r="B91">
        <v>7.8539816339744828</v>
      </c>
      <c r="C91">
        <v>3.1415926535897931</v>
      </c>
      <c r="D91">
        <v>7.0685834705770345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s="6" t="s">
        <v>9</v>
      </c>
      <c r="B92">
        <f>B87/50000</f>
        <v>4.7123889803846797E-5</v>
      </c>
      <c r="C92">
        <f t="shared" ref="C92:J92" si="21">C87/50000</f>
        <v>6.2831853071795856E-5</v>
      </c>
      <c r="D92">
        <f t="shared" si="21"/>
        <v>1.4137166941154068E-4</v>
      </c>
      <c r="E92">
        <f t="shared" si="21"/>
        <v>0</v>
      </c>
      <c r="F92">
        <f t="shared" si="21"/>
        <v>0</v>
      </c>
      <c r="G92">
        <f t="shared" si="21"/>
        <v>5.6548667764616273E-4</v>
      </c>
      <c r="H92">
        <f t="shared" si="21"/>
        <v>0</v>
      </c>
      <c r="I92">
        <f t="shared" si="21"/>
        <v>0</v>
      </c>
      <c r="J92">
        <f t="shared" si="21"/>
        <v>0</v>
      </c>
    </row>
    <row r="93" spans="1:10" x14ac:dyDescent="0.25">
      <c r="A93" s="6"/>
      <c r="B93">
        <f t="shared" ref="B93:J96" si="22">B88/50000</f>
        <v>1.5707963267948965E-4</v>
      </c>
      <c r="C93">
        <f t="shared" si="22"/>
        <v>4.3982297150257102E-4</v>
      </c>
      <c r="D93">
        <f t="shared" si="22"/>
        <v>4.2411500823462205E-4</v>
      </c>
      <c r="E93">
        <f t="shared" si="22"/>
        <v>0</v>
      </c>
      <c r="F93">
        <f t="shared" si="22"/>
        <v>3.9269908169872416E-4</v>
      </c>
      <c r="G93">
        <f t="shared" si="22"/>
        <v>5.6548667764616273E-4</v>
      </c>
      <c r="H93">
        <f t="shared" si="22"/>
        <v>0</v>
      </c>
      <c r="I93">
        <f t="shared" si="22"/>
        <v>0</v>
      </c>
      <c r="J93">
        <f t="shared" si="22"/>
        <v>0</v>
      </c>
    </row>
    <row r="94" spans="1:10" x14ac:dyDescent="0.25">
      <c r="A94" s="6"/>
      <c r="B94">
        <f t="shared" si="22"/>
        <v>2.5132741228718343E-4</v>
      </c>
      <c r="C94">
        <f t="shared" si="22"/>
        <v>3.7699111843077519E-4</v>
      </c>
      <c r="D94">
        <f t="shared" si="22"/>
        <v>0</v>
      </c>
      <c r="E94">
        <f t="shared" si="22"/>
        <v>2.5132741228718343E-4</v>
      </c>
      <c r="F94">
        <f t="shared" si="22"/>
        <v>1.1780972450961724E-3</v>
      </c>
      <c r="G94">
        <f t="shared" si="22"/>
        <v>0</v>
      </c>
      <c r="H94">
        <f t="shared" si="22"/>
        <v>0</v>
      </c>
      <c r="I94">
        <f t="shared" si="22"/>
        <v>0</v>
      </c>
      <c r="J94">
        <f t="shared" si="22"/>
        <v>0</v>
      </c>
    </row>
    <row r="95" spans="1:10" x14ac:dyDescent="0.25">
      <c r="A95" s="6"/>
      <c r="B95">
        <f t="shared" si="22"/>
        <v>1.0995574287564276E-4</v>
      </c>
      <c r="C95">
        <f t="shared" si="22"/>
        <v>2.5132741228718343E-4</v>
      </c>
      <c r="D95">
        <f t="shared" si="22"/>
        <v>2.8274333882308137E-4</v>
      </c>
      <c r="E95">
        <f t="shared" si="22"/>
        <v>0</v>
      </c>
      <c r="F95">
        <f t="shared" si="22"/>
        <v>0</v>
      </c>
      <c r="G95">
        <f t="shared" si="22"/>
        <v>0</v>
      </c>
      <c r="H95">
        <f t="shared" si="22"/>
        <v>0</v>
      </c>
      <c r="I95">
        <f t="shared" si="22"/>
        <v>0</v>
      </c>
      <c r="J95">
        <f t="shared" si="22"/>
        <v>0</v>
      </c>
    </row>
    <row r="96" spans="1:10" x14ac:dyDescent="0.25">
      <c r="A96" s="6"/>
      <c r="B96">
        <f t="shared" si="22"/>
        <v>1.5707963267948965E-4</v>
      </c>
      <c r="C96">
        <f t="shared" si="22"/>
        <v>6.2831853071795856E-5</v>
      </c>
      <c r="D96">
        <f t="shared" si="22"/>
        <v>1.4137166941154068E-4</v>
      </c>
      <c r="E96">
        <f t="shared" si="22"/>
        <v>0</v>
      </c>
      <c r="F96">
        <f t="shared" si="22"/>
        <v>0</v>
      </c>
      <c r="G96">
        <f t="shared" si="22"/>
        <v>0</v>
      </c>
      <c r="H96">
        <f t="shared" si="22"/>
        <v>0</v>
      </c>
      <c r="I96">
        <f t="shared" si="22"/>
        <v>0</v>
      </c>
      <c r="J96">
        <f t="shared" si="22"/>
        <v>0</v>
      </c>
    </row>
    <row r="97" spans="1:10" x14ac:dyDescent="0.25">
      <c r="A97" s="4" t="s">
        <v>10</v>
      </c>
      <c r="B97">
        <f>B86*B92</f>
        <v>2.9240844862184976E-4</v>
      </c>
      <c r="C97">
        <f t="shared" ref="C97:J97" si="23">C86*C92</f>
        <v>4.9600912236501737E-4</v>
      </c>
      <c r="D97">
        <f t="shared" si="23"/>
        <v>1.255706750655875E-3</v>
      </c>
      <c r="E97">
        <f t="shared" si="23"/>
        <v>0</v>
      </c>
      <c r="F97">
        <f t="shared" si="23"/>
        <v>0</v>
      </c>
      <c r="G97">
        <f t="shared" si="23"/>
        <v>5.978007720446453E-3</v>
      </c>
      <c r="H97">
        <f t="shared" si="23"/>
        <v>0</v>
      </c>
      <c r="I97">
        <f t="shared" si="23"/>
        <v>0</v>
      </c>
      <c r="J97">
        <f t="shared" si="23"/>
        <v>0</v>
      </c>
    </row>
    <row r="98" spans="1:10" x14ac:dyDescent="0.25">
      <c r="A98" s="6"/>
      <c r="B98">
        <f t="shared" ref="B98:J101" si="24">B87*B93</f>
        <v>3.7011016504085017E-4</v>
      </c>
      <c r="C98">
        <f t="shared" si="24"/>
        <v>1.3817446161525102E-3</v>
      </c>
      <c r="D98">
        <f t="shared" si="24"/>
        <v>2.9978923368308924E-3</v>
      </c>
      <c r="E98">
        <f t="shared" si="24"/>
        <v>0</v>
      </c>
      <c r="F98">
        <f t="shared" si="24"/>
        <v>0</v>
      </c>
      <c r="G98">
        <f t="shared" si="24"/>
        <v>1.598875912976476E-2</v>
      </c>
      <c r="H98">
        <f t="shared" si="24"/>
        <v>0</v>
      </c>
      <c r="I98">
        <f t="shared" si="24"/>
        <v>0</v>
      </c>
      <c r="J98">
        <f t="shared" si="24"/>
        <v>0</v>
      </c>
    </row>
    <row r="99" spans="1:10" x14ac:dyDescent="0.25">
      <c r="A99" s="6"/>
      <c r="B99">
        <f t="shared" si="24"/>
        <v>1.9739208802178713E-3</v>
      </c>
      <c r="C99">
        <f t="shared" si="24"/>
        <v>8.2904676969150614E-3</v>
      </c>
      <c r="D99">
        <f t="shared" si="24"/>
        <v>0</v>
      </c>
      <c r="E99">
        <f t="shared" si="24"/>
        <v>0</v>
      </c>
      <c r="F99">
        <f t="shared" si="24"/>
        <v>2.3131885315053183E-2</v>
      </c>
      <c r="G99">
        <f t="shared" si="24"/>
        <v>0</v>
      </c>
      <c r="H99">
        <f t="shared" si="24"/>
        <v>0</v>
      </c>
      <c r="I99">
        <f t="shared" si="24"/>
        <v>0</v>
      </c>
      <c r="J99">
        <f t="shared" si="24"/>
        <v>0</v>
      </c>
    </row>
    <row r="100" spans="1:10" x14ac:dyDescent="0.25">
      <c r="A100" s="6"/>
      <c r="B100">
        <f t="shared" si="24"/>
        <v>1.3817446161525102E-3</v>
      </c>
      <c r="C100">
        <f t="shared" si="24"/>
        <v>4.7374101125228912E-3</v>
      </c>
      <c r="D100">
        <f t="shared" si="24"/>
        <v>0</v>
      </c>
      <c r="E100">
        <f t="shared" si="24"/>
        <v>0</v>
      </c>
      <c r="F100">
        <f t="shared" si="24"/>
        <v>0</v>
      </c>
      <c r="G100">
        <f t="shared" si="24"/>
        <v>0</v>
      </c>
      <c r="H100">
        <f t="shared" si="24"/>
        <v>0</v>
      </c>
      <c r="I100">
        <f t="shared" si="24"/>
        <v>0</v>
      </c>
      <c r="J100">
        <f t="shared" si="24"/>
        <v>0</v>
      </c>
    </row>
    <row r="101" spans="1:10" x14ac:dyDescent="0.25">
      <c r="A101" s="6"/>
      <c r="B101">
        <f t="shared" si="24"/>
        <v>8.6359038509531882E-4</v>
      </c>
      <c r="C101">
        <f t="shared" si="24"/>
        <v>7.8956835208714854E-4</v>
      </c>
      <c r="D101">
        <f t="shared" si="24"/>
        <v>1.998594891220595E-3</v>
      </c>
      <c r="E101">
        <f t="shared" si="24"/>
        <v>0</v>
      </c>
      <c r="F101">
        <f t="shared" si="24"/>
        <v>0</v>
      </c>
      <c r="G101">
        <f t="shared" si="24"/>
        <v>0</v>
      </c>
      <c r="H101">
        <f t="shared" si="24"/>
        <v>0</v>
      </c>
      <c r="I101">
        <f t="shared" si="24"/>
        <v>0</v>
      </c>
      <c r="J101">
        <f t="shared" si="24"/>
        <v>0</v>
      </c>
    </row>
    <row r="102" spans="1:10" x14ac:dyDescent="0.25">
      <c r="A102" s="4" t="s">
        <v>11</v>
      </c>
      <c r="B102">
        <f>B97*1000</f>
        <v>0.29240844862184978</v>
      </c>
      <c r="C102">
        <f t="shared" ref="C102:J102" si="25">C97*1000</f>
        <v>0.49600912236501737</v>
      </c>
      <c r="D102">
        <f t="shared" si="25"/>
        <v>1.255706750655875</v>
      </c>
      <c r="E102">
        <f t="shared" si="25"/>
        <v>0</v>
      </c>
      <c r="F102">
        <f t="shared" si="25"/>
        <v>0</v>
      </c>
      <c r="G102">
        <f t="shared" si="25"/>
        <v>5.9780077204464526</v>
      </c>
      <c r="H102">
        <f t="shared" si="25"/>
        <v>0</v>
      </c>
      <c r="I102">
        <f t="shared" si="25"/>
        <v>0</v>
      </c>
      <c r="J102">
        <f t="shared" si="25"/>
        <v>0</v>
      </c>
    </row>
    <row r="103" spans="1:10" x14ac:dyDescent="0.25">
      <c r="A103" s="6"/>
      <c r="B103">
        <f t="shared" ref="B103:J106" si="26">B98*1000</f>
        <v>0.37011016504085015</v>
      </c>
      <c r="C103">
        <f t="shared" si="26"/>
        <v>1.3817446161525102</v>
      </c>
      <c r="D103">
        <f t="shared" si="26"/>
        <v>2.9978923368308923</v>
      </c>
      <c r="E103">
        <f t="shared" si="26"/>
        <v>0</v>
      </c>
      <c r="F103">
        <f t="shared" si="26"/>
        <v>0</v>
      </c>
      <c r="G103">
        <f t="shared" si="26"/>
        <v>15.988759129764759</v>
      </c>
      <c r="H103">
        <f t="shared" si="26"/>
        <v>0</v>
      </c>
      <c r="I103">
        <f t="shared" si="26"/>
        <v>0</v>
      </c>
      <c r="J103">
        <f t="shared" si="26"/>
        <v>0</v>
      </c>
    </row>
    <row r="104" spans="1:10" x14ac:dyDescent="0.25">
      <c r="A104" s="6"/>
      <c r="B104">
        <f t="shared" si="26"/>
        <v>1.9739208802178714</v>
      </c>
      <c r="C104">
        <f t="shared" si="26"/>
        <v>8.2904676969150621</v>
      </c>
      <c r="D104">
        <f t="shared" si="26"/>
        <v>0</v>
      </c>
      <c r="E104">
        <f t="shared" si="26"/>
        <v>0</v>
      </c>
      <c r="F104">
        <f t="shared" si="26"/>
        <v>23.131885315053182</v>
      </c>
      <c r="G104">
        <f t="shared" si="26"/>
        <v>0</v>
      </c>
      <c r="H104">
        <f t="shared" si="26"/>
        <v>0</v>
      </c>
      <c r="I104">
        <f t="shared" si="26"/>
        <v>0</v>
      </c>
      <c r="J104">
        <f t="shared" si="26"/>
        <v>0</v>
      </c>
    </row>
    <row r="105" spans="1:10" x14ac:dyDescent="0.25">
      <c r="A105" s="6"/>
      <c r="B105">
        <f t="shared" si="26"/>
        <v>1.3817446161525102</v>
      </c>
      <c r="C105">
        <f t="shared" si="26"/>
        <v>4.7374101125228911</v>
      </c>
      <c r="D105">
        <f t="shared" si="26"/>
        <v>0</v>
      </c>
      <c r="E105">
        <f t="shared" si="26"/>
        <v>0</v>
      </c>
      <c r="F105">
        <f t="shared" si="26"/>
        <v>0</v>
      </c>
      <c r="G105">
        <f t="shared" si="26"/>
        <v>0</v>
      </c>
      <c r="H105">
        <f t="shared" si="26"/>
        <v>0</v>
      </c>
      <c r="I105">
        <f t="shared" si="26"/>
        <v>0</v>
      </c>
      <c r="J105">
        <f t="shared" si="26"/>
        <v>0</v>
      </c>
    </row>
    <row r="106" spans="1:10" x14ac:dyDescent="0.25">
      <c r="A106" s="6"/>
      <c r="B106">
        <f t="shared" si="26"/>
        <v>0.86359038509531882</v>
      </c>
      <c r="C106">
        <f t="shared" si="26"/>
        <v>0.78956835208714859</v>
      </c>
      <c r="D106">
        <f t="shared" si="26"/>
        <v>1.9985948912205949</v>
      </c>
      <c r="E106">
        <f t="shared" si="26"/>
        <v>0</v>
      </c>
      <c r="F106">
        <f t="shared" si="26"/>
        <v>0</v>
      </c>
      <c r="G106">
        <f t="shared" si="26"/>
        <v>0</v>
      </c>
      <c r="H106">
        <f t="shared" si="26"/>
        <v>0</v>
      </c>
      <c r="I106">
        <f t="shared" si="26"/>
        <v>0</v>
      </c>
      <c r="J106">
        <f t="shared" si="26"/>
        <v>0</v>
      </c>
    </row>
    <row r="107" spans="1:10" x14ac:dyDescent="0.25">
      <c r="A107" s="4" t="s">
        <v>12</v>
      </c>
      <c r="B107">
        <f>B102/2</f>
        <v>0.14620422431092489</v>
      </c>
      <c r="C107">
        <f t="shared" ref="C107:J107" si="27">C102/2</f>
        <v>0.24800456118250869</v>
      </c>
      <c r="D107">
        <f t="shared" si="27"/>
        <v>0.6278533753279375</v>
      </c>
      <c r="E107">
        <f t="shared" si="27"/>
        <v>0</v>
      </c>
      <c r="F107">
        <f t="shared" si="27"/>
        <v>0</v>
      </c>
      <c r="G107">
        <f t="shared" si="27"/>
        <v>2.9890038602232263</v>
      </c>
      <c r="H107">
        <f t="shared" si="27"/>
        <v>0</v>
      </c>
      <c r="I107">
        <f t="shared" si="27"/>
        <v>0</v>
      </c>
      <c r="J107">
        <f t="shared" si="27"/>
        <v>0</v>
      </c>
    </row>
    <row r="108" spans="1:10" x14ac:dyDescent="0.25">
      <c r="A108" s="6"/>
      <c r="B108">
        <f t="shared" ref="B108:J111" si="28">B103/2</f>
        <v>0.18505508252042507</v>
      </c>
      <c r="C108">
        <f t="shared" si="28"/>
        <v>0.6908723080762551</v>
      </c>
      <c r="D108">
        <f t="shared" si="28"/>
        <v>1.4989461684154461</v>
      </c>
      <c r="E108">
        <f t="shared" si="28"/>
        <v>0</v>
      </c>
      <c r="F108">
        <f t="shared" si="28"/>
        <v>0</v>
      </c>
      <c r="G108">
        <f t="shared" si="28"/>
        <v>7.9943795648823794</v>
      </c>
      <c r="H108">
        <f t="shared" si="28"/>
        <v>0</v>
      </c>
      <c r="I108">
        <f t="shared" si="28"/>
        <v>0</v>
      </c>
      <c r="J108">
        <f t="shared" si="28"/>
        <v>0</v>
      </c>
    </row>
    <row r="109" spans="1:10" x14ac:dyDescent="0.25">
      <c r="A109" s="6"/>
      <c r="B109">
        <f t="shared" si="28"/>
        <v>0.98696044010893569</v>
      </c>
      <c r="C109">
        <f t="shared" si="28"/>
        <v>4.1452338484575311</v>
      </c>
      <c r="D109">
        <f t="shared" si="28"/>
        <v>0</v>
      </c>
      <c r="E109">
        <f t="shared" si="28"/>
        <v>0</v>
      </c>
      <c r="F109">
        <f t="shared" si="28"/>
        <v>11.565942657526591</v>
      </c>
      <c r="G109">
        <f t="shared" si="28"/>
        <v>0</v>
      </c>
      <c r="H109">
        <f t="shared" si="28"/>
        <v>0</v>
      </c>
      <c r="I109">
        <f t="shared" si="28"/>
        <v>0</v>
      </c>
      <c r="J109">
        <f t="shared" si="28"/>
        <v>0</v>
      </c>
    </row>
    <row r="110" spans="1:10" x14ac:dyDescent="0.25">
      <c r="A110" s="6"/>
      <c r="B110">
        <f t="shared" si="28"/>
        <v>0.6908723080762551</v>
      </c>
      <c r="C110">
        <f t="shared" si="28"/>
        <v>2.3687050562614456</v>
      </c>
      <c r="D110">
        <f t="shared" si="28"/>
        <v>0</v>
      </c>
      <c r="E110">
        <f t="shared" si="28"/>
        <v>0</v>
      </c>
      <c r="F110">
        <f t="shared" si="28"/>
        <v>0</v>
      </c>
      <c r="G110">
        <f t="shared" si="28"/>
        <v>0</v>
      </c>
      <c r="H110">
        <f t="shared" si="28"/>
        <v>0</v>
      </c>
      <c r="I110">
        <f t="shared" si="28"/>
        <v>0</v>
      </c>
      <c r="J110">
        <f t="shared" si="28"/>
        <v>0</v>
      </c>
    </row>
    <row r="111" spans="1:10" x14ac:dyDescent="0.25">
      <c r="A111" s="6"/>
      <c r="B111">
        <f t="shared" si="28"/>
        <v>0.43179519254765941</v>
      </c>
      <c r="C111">
        <f t="shared" si="28"/>
        <v>0.3947841760435743</v>
      </c>
      <c r="D111">
        <f t="shared" si="28"/>
        <v>0.99929744561029743</v>
      </c>
      <c r="E111">
        <f t="shared" si="28"/>
        <v>0</v>
      </c>
      <c r="F111">
        <f t="shared" si="28"/>
        <v>0</v>
      </c>
      <c r="G111">
        <f t="shared" si="28"/>
        <v>0</v>
      </c>
      <c r="H111">
        <f t="shared" si="28"/>
        <v>0</v>
      </c>
      <c r="I111">
        <f t="shared" si="28"/>
        <v>0</v>
      </c>
      <c r="J111">
        <f t="shared" si="28"/>
        <v>0</v>
      </c>
    </row>
    <row r="112" spans="1:10" x14ac:dyDescent="0.25">
      <c r="A112" s="4" t="s">
        <v>19</v>
      </c>
      <c r="B112" s="7">
        <f>SUM(B107:J107)</f>
        <v>4.0110660210445976</v>
      </c>
    </row>
    <row r="113" spans="1:2" x14ac:dyDescent="0.25">
      <c r="A113" s="6"/>
      <c r="B113" s="7">
        <f t="shared" ref="B113:B116" si="29">SUM(B108:J108)</f>
        <v>10.369253123894506</v>
      </c>
    </row>
    <row r="114" spans="1:2" x14ac:dyDescent="0.25">
      <c r="A114" s="6"/>
      <c r="B114" s="7">
        <f t="shared" si="29"/>
        <v>16.698136946093058</v>
      </c>
    </row>
    <row r="115" spans="1:2" x14ac:dyDescent="0.25">
      <c r="A115" s="6"/>
      <c r="B115" s="7">
        <f t="shared" si="29"/>
        <v>3.0595773643377004</v>
      </c>
    </row>
    <row r="116" spans="1:2" x14ac:dyDescent="0.25">
      <c r="A116" s="6"/>
      <c r="B116" s="7">
        <f t="shared" si="29"/>
        <v>1.8258768142015311</v>
      </c>
    </row>
  </sheetData>
  <mergeCells count="3">
    <mergeCell ref="B1:J1"/>
    <mergeCell ref="B40:J40"/>
    <mergeCell ref="B79:J7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33" sqref="C33"/>
    </sheetView>
  </sheetViews>
  <sheetFormatPr baseColWidth="10" defaultRowHeight="15" x14ac:dyDescent="0.25"/>
  <cols>
    <col min="1" max="1" width="10" bestFit="1" customWidth="1"/>
    <col min="2" max="2" width="20.28515625" bestFit="1" customWidth="1"/>
    <col min="3" max="3" width="20.85546875" bestFit="1" customWidth="1"/>
    <col min="4" max="4" width="18.85546875" bestFit="1" customWidth="1"/>
  </cols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0.05</v>
      </c>
      <c r="B2" s="7">
        <v>25.663986337983907</v>
      </c>
      <c r="C2" s="7">
        <v>6.1367914167449529</v>
      </c>
      <c r="D2" s="7">
        <v>4.0110660210445976</v>
      </c>
    </row>
    <row r="3" spans="1:4" x14ac:dyDescent="0.25">
      <c r="A3">
        <v>0.15</v>
      </c>
      <c r="B3" s="7">
        <v>9.8264248818345887</v>
      </c>
      <c r="C3" s="7">
        <v>1.38174461615251</v>
      </c>
      <c r="D3" s="7">
        <v>10.369253123894506</v>
      </c>
    </row>
    <row r="4" spans="1:4" x14ac:dyDescent="0.25">
      <c r="A4">
        <v>0.25</v>
      </c>
      <c r="B4" s="7">
        <v>8.7037573812106785</v>
      </c>
      <c r="C4" s="7">
        <v>1.0239714566130209</v>
      </c>
      <c r="D4" s="7">
        <v>16.698136946093058</v>
      </c>
    </row>
    <row r="5" spans="1:4" x14ac:dyDescent="0.25">
      <c r="A5">
        <v>0.35</v>
      </c>
      <c r="B5" s="7">
        <v>1.2460375556375312</v>
      </c>
      <c r="C5" s="7">
        <v>1.2337005501361697E-2</v>
      </c>
      <c r="D5" s="7">
        <v>3.0595773643377004</v>
      </c>
    </row>
    <row r="6" spans="1:4" x14ac:dyDescent="0.25">
      <c r="A6">
        <v>0.45</v>
      </c>
      <c r="B6" s="7">
        <v>1.0979934896211909</v>
      </c>
      <c r="C6" s="7">
        <v>0</v>
      </c>
      <c r="D6" s="7">
        <v>1.8258768142015311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Cohesion</vt:lpstr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Peter</dc:creator>
  <cp:lastModifiedBy>Kevin Peter</cp:lastModifiedBy>
  <dcterms:created xsi:type="dcterms:W3CDTF">2024-02-27T15:36:59Z</dcterms:created>
  <dcterms:modified xsi:type="dcterms:W3CDTF">2024-02-27T16:11:19Z</dcterms:modified>
</cp:coreProperties>
</file>