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pivotCache/pivotCacheDefinition3.xml" ContentType="application/vnd.openxmlformats-officedocument.spreadsheetml.pivotCacheDefinition+xml"/>
  <Override PartName="/xl/pivotCache/pivotCacheRecords3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231"/>
  <workbookPr hidePivotFieldList="1"/>
  <mc:AlternateContent xmlns:mc="http://schemas.openxmlformats.org/markup-compatibility/2006">
    <mc:Choice Requires="x15">
      <x15ac:absPath xmlns:x15ac="http://schemas.microsoft.com/office/spreadsheetml/2010/11/ac" url="E:\"/>
    </mc:Choice>
  </mc:AlternateContent>
  <xr:revisionPtr revIDLastSave="0" documentId="13_ncr:1_{25A38E80-E477-4A11-9B0D-FD2D3EA2E76C}" xr6:coauthVersionLast="47" xr6:coauthVersionMax="47" xr10:uidLastSave="{00000000-0000-0000-0000-000000000000}"/>
  <bookViews>
    <workbookView xWindow="-108" yWindow="-108" windowWidth="23256" windowHeight="12576" activeTab="1" xr2:uid="{00000000-000D-0000-FFFF-FFFF00000000}"/>
  </bookViews>
  <sheets>
    <sheet name="RAR" sheetId="2" r:id="rId1"/>
    <sheet name="Tensile_strength" sheetId="6" r:id="rId2"/>
    <sheet name="Beech_RAR" sheetId="3" r:id="rId3"/>
    <sheet name="Spruce_RAR" sheetId="4" r:id="rId4"/>
    <sheet name="Pine_RAR" sheetId="5" r:id="rId5"/>
  </sheets>
  <definedNames>
    <definedName name="_xlchart.v1.0" hidden="1">Beech_RAR!$B$21:$E$21</definedName>
  </definedNames>
  <calcPr calcId="191029"/>
  <pivotCaches>
    <pivotCache cacheId="5" r:id="rId6"/>
    <pivotCache cacheId="6" r:id="rId7"/>
    <pivotCache cacheId="7" r:id="rId8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23" i="3" l="1"/>
  <c r="C17" i="3"/>
  <c r="B10" i="3"/>
  <c r="B20" i="3" s="1"/>
  <c r="B25" i="3" s="1"/>
  <c r="B10" i="5"/>
  <c r="B16" i="5" s="1"/>
  <c r="B21" i="5" s="1"/>
  <c r="D20" i="5"/>
  <c r="D25" i="5" s="1"/>
  <c r="D19" i="5"/>
  <c r="D24" i="5" s="1"/>
  <c r="B19" i="5"/>
  <c r="B24" i="5" s="1"/>
  <c r="D18" i="5"/>
  <c r="D23" i="5" s="1"/>
  <c r="B18" i="5"/>
  <c r="B23" i="5" s="1"/>
  <c r="B17" i="5"/>
  <c r="B22" i="5" s="1"/>
  <c r="F16" i="5"/>
  <c r="F21" i="5" s="1"/>
  <c r="F21" i="4"/>
  <c r="G20" i="4"/>
  <c r="G25" i="4" s="1"/>
  <c r="D20" i="4"/>
  <c r="D25" i="4" s="1"/>
  <c r="F18" i="4"/>
  <c r="F23" i="4" s="1"/>
  <c r="G17" i="4"/>
  <c r="G22" i="4" s="1"/>
  <c r="F16" i="4"/>
  <c r="C10" i="5"/>
  <c r="C20" i="5" s="1"/>
  <c r="C25" i="5" s="1"/>
  <c r="D10" i="5"/>
  <c r="D17" i="5" s="1"/>
  <c r="D22" i="5" s="1"/>
  <c r="E10" i="5"/>
  <c r="E16" i="5" s="1"/>
  <c r="E21" i="5" s="1"/>
  <c r="F10" i="5"/>
  <c r="F18" i="5" s="1"/>
  <c r="F23" i="5" s="1"/>
  <c r="G10" i="5"/>
  <c r="G20" i="5" s="1"/>
  <c r="G25" i="5" s="1"/>
  <c r="H10" i="5"/>
  <c r="H20" i="5" s="1"/>
  <c r="H25" i="5" s="1"/>
  <c r="I10" i="5"/>
  <c r="I20" i="5" s="1"/>
  <c r="I25" i="5" s="1"/>
  <c r="J10" i="5"/>
  <c r="J20" i="5" s="1"/>
  <c r="J25" i="5" s="1"/>
  <c r="C10" i="4"/>
  <c r="C20" i="4" s="1"/>
  <c r="C25" i="4" s="1"/>
  <c r="D10" i="4"/>
  <c r="D19" i="4" s="1"/>
  <c r="D24" i="4" s="1"/>
  <c r="E10" i="4"/>
  <c r="E18" i="4" s="1"/>
  <c r="E23" i="4" s="1"/>
  <c r="F10" i="4"/>
  <c r="F17" i="4" s="1"/>
  <c r="F22" i="4" s="1"/>
  <c r="G10" i="4"/>
  <c r="G16" i="4" s="1"/>
  <c r="G21" i="4" s="1"/>
  <c r="H10" i="4"/>
  <c r="H20" i="4" s="1"/>
  <c r="H25" i="4" s="1"/>
  <c r="I10" i="4"/>
  <c r="I20" i="4" s="1"/>
  <c r="I25" i="4" s="1"/>
  <c r="J10" i="4"/>
  <c r="J20" i="4" s="1"/>
  <c r="J25" i="4" s="1"/>
  <c r="B10" i="4"/>
  <c r="B20" i="4" s="1"/>
  <c r="B25" i="4" s="1"/>
  <c r="C82" i="6"/>
  <c r="D82" i="6" s="1"/>
  <c r="C63" i="6"/>
  <c r="D63" i="6" s="1"/>
  <c r="C70" i="6"/>
  <c r="D70" i="6" s="1"/>
  <c r="C66" i="6"/>
  <c r="D66" i="6" s="1"/>
  <c r="C67" i="6"/>
  <c r="D67" i="6" s="1"/>
  <c r="C64" i="6"/>
  <c r="D64" i="6" s="1"/>
  <c r="C81" i="6"/>
  <c r="D81" i="6" s="1"/>
  <c r="C78" i="6"/>
  <c r="D78" i="6" s="1"/>
  <c r="C76" i="6"/>
  <c r="D76" i="6" s="1"/>
  <c r="C74" i="6"/>
  <c r="D74" i="6" s="1"/>
  <c r="C65" i="6"/>
  <c r="D65" i="6" s="1"/>
  <c r="C68" i="6"/>
  <c r="D68" i="6" s="1"/>
  <c r="C69" i="6"/>
  <c r="D69" i="6" s="1"/>
  <c r="C71" i="6"/>
  <c r="D71" i="6" s="1"/>
  <c r="C72" i="6"/>
  <c r="D72" i="6" s="1"/>
  <c r="C73" i="6"/>
  <c r="D73" i="6" s="1"/>
  <c r="C75" i="6"/>
  <c r="D75" i="6" s="1"/>
  <c r="C77" i="6"/>
  <c r="D77" i="6" s="1"/>
  <c r="C79" i="6"/>
  <c r="D79" i="6" s="1"/>
  <c r="C80" i="6"/>
  <c r="D80" i="6" s="1"/>
  <c r="E17" i="5" l="1"/>
  <c r="E22" i="5" s="1"/>
  <c r="B16" i="3"/>
  <c r="B21" i="3" s="1"/>
  <c r="I16" i="4"/>
  <c r="I21" i="4" s="1"/>
  <c r="H17" i="4"/>
  <c r="H22" i="4" s="1"/>
  <c r="G18" i="4"/>
  <c r="G23" i="4" s="1"/>
  <c r="F19" i="4"/>
  <c r="F24" i="4" s="1"/>
  <c r="E20" i="4"/>
  <c r="E25" i="4" s="1"/>
  <c r="G16" i="5"/>
  <c r="G21" i="5" s="1"/>
  <c r="F17" i="5"/>
  <c r="F22" i="5" s="1"/>
  <c r="E18" i="5"/>
  <c r="E23" i="5" s="1"/>
  <c r="E19" i="5"/>
  <c r="E24" i="5" s="1"/>
  <c r="E20" i="5"/>
  <c r="E25" i="5" s="1"/>
  <c r="H16" i="4"/>
  <c r="H21" i="4" s="1"/>
  <c r="E19" i="4"/>
  <c r="E24" i="4" s="1"/>
  <c r="B17" i="3"/>
  <c r="B22" i="3" s="1"/>
  <c r="B16" i="4"/>
  <c r="B21" i="4" s="1"/>
  <c r="J16" i="4"/>
  <c r="J21" i="4" s="1"/>
  <c r="I17" i="4"/>
  <c r="I22" i="4" s="1"/>
  <c r="H18" i="4"/>
  <c r="H23" i="4" s="1"/>
  <c r="G19" i="4"/>
  <c r="G24" i="4" s="1"/>
  <c r="F20" i="4"/>
  <c r="F25" i="4" s="1"/>
  <c r="H16" i="5"/>
  <c r="H21" i="5" s="1"/>
  <c r="G17" i="5"/>
  <c r="G22" i="5" s="1"/>
  <c r="G18" i="5"/>
  <c r="G23" i="5" s="1"/>
  <c r="F19" i="5"/>
  <c r="F24" i="5" s="1"/>
  <c r="F20" i="5"/>
  <c r="F25" i="5" s="1"/>
  <c r="B18" i="3"/>
  <c r="B23" i="3" s="1"/>
  <c r="C16" i="4"/>
  <c r="C21" i="4" s="1"/>
  <c r="B17" i="4"/>
  <c r="B22" i="4" s="1"/>
  <c r="J17" i="4"/>
  <c r="J22" i="4" s="1"/>
  <c r="I18" i="4"/>
  <c r="I23" i="4" s="1"/>
  <c r="H19" i="4"/>
  <c r="H24" i="4" s="1"/>
  <c r="I16" i="5"/>
  <c r="I21" i="5" s="1"/>
  <c r="H17" i="5"/>
  <c r="H22" i="5" s="1"/>
  <c r="H18" i="5"/>
  <c r="H23" i="5" s="1"/>
  <c r="G19" i="5"/>
  <c r="G24" i="5" s="1"/>
  <c r="B19" i="3"/>
  <c r="B24" i="3" s="1"/>
  <c r="D16" i="4"/>
  <c r="D21" i="4" s="1"/>
  <c r="C17" i="4"/>
  <c r="C22" i="4" s="1"/>
  <c r="B18" i="4"/>
  <c r="B23" i="4" s="1"/>
  <c r="J18" i="4"/>
  <c r="J23" i="4" s="1"/>
  <c r="I19" i="4"/>
  <c r="I24" i="4" s="1"/>
  <c r="J16" i="5"/>
  <c r="J21" i="5" s="1"/>
  <c r="I17" i="5"/>
  <c r="I22" i="5" s="1"/>
  <c r="I18" i="5"/>
  <c r="I23" i="5" s="1"/>
  <c r="H19" i="5"/>
  <c r="H24" i="5" s="1"/>
  <c r="B20" i="5"/>
  <c r="B25" i="5" s="1"/>
  <c r="E16" i="4"/>
  <c r="E21" i="4" s="1"/>
  <c r="D17" i="4"/>
  <c r="D22" i="4" s="1"/>
  <c r="C18" i="4"/>
  <c r="C23" i="4" s="1"/>
  <c r="B19" i="4"/>
  <c r="B24" i="4" s="1"/>
  <c r="J19" i="4"/>
  <c r="J24" i="4" s="1"/>
  <c r="C16" i="5"/>
  <c r="C21" i="5" s="1"/>
  <c r="J17" i="5"/>
  <c r="J22" i="5" s="1"/>
  <c r="J18" i="5"/>
  <c r="J23" i="5" s="1"/>
  <c r="I19" i="5"/>
  <c r="I24" i="5" s="1"/>
  <c r="E17" i="4"/>
  <c r="E22" i="4" s="1"/>
  <c r="D18" i="4"/>
  <c r="D23" i="4" s="1"/>
  <c r="C19" i="4"/>
  <c r="C24" i="4" s="1"/>
  <c r="D16" i="5"/>
  <c r="D21" i="5" s="1"/>
  <c r="C17" i="5"/>
  <c r="C22" i="5" s="1"/>
  <c r="J19" i="5"/>
  <c r="J24" i="5" s="1"/>
  <c r="C18" i="5"/>
  <c r="C23" i="5" s="1"/>
  <c r="C19" i="5"/>
  <c r="C24" i="5" s="1"/>
  <c r="D10" i="3"/>
  <c r="E10" i="3"/>
  <c r="F10" i="3"/>
  <c r="G10" i="3"/>
  <c r="H10" i="3"/>
  <c r="I10" i="3"/>
  <c r="J10" i="3"/>
  <c r="C10" i="3"/>
  <c r="C31" i="6"/>
  <c r="D31" i="6" s="1"/>
  <c r="C5" i="6"/>
  <c r="D5" i="6" s="1"/>
  <c r="C6" i="6"/>
  <c r="D6" i="6" s="1"/>
  <c r="C7" i="6"/>
  <c r="D7" i="6" s="1"/>
  <c r="C8" i="6"/>
  <c r="D8" i="6" s="1"/>
  <c r="C9" i="6"/>
  <c r="D9" i="6" s="1"/>
  <c r="C10" i="6"/>
  <c r="D10" i="6" s="1"/>
  <c r="C11" i="6"/>
  <c r="D11" i="6" s="1"/>
  <c r="C12" i="6"/>
  <c r="D12" i="6" s="1"/>
  <c r="C13" i="6"/>
  <c r="D13" i="6" s="1"/>
  <c r="C14" i="6"/>
  <c r="D14" i="6" s="1"/>
  <c r="C15" i="6"/>
  <c r="D15" i="6" s="1"/>
  <c r="C16" i="6"/>
  <c r="D16" i="6" s="1"/>
  <c r="C17" i="6"/>
  <c r="D17" i="6" s="1"/>
  <c r="C18" i="6"/>
  <c r="D18" i="6" s="1"/>
  <c r="C19" i="6"/>
  <c r="D19" i="6" s="1"/>
  <c r="C25" i="6"/>
  <c r="D25" i="6" s="1"/>
  <c r="C26" i="6"/>
  <c r="D26" i="6" s="1"/>
  <c r="C27" i="6"/>
  <c r="D27" i="6" s="1"/>
  <c r="C28" i="6"/>
  <c r="D28" i="6" s="1"/>
  <c r="C29" i="6"/>
  <c r="D29" i="6" s="1"/>
  <c r="C30" i="6"/>
  <c r="D30" i="6" s="1"/>
  <c r="C32" i="6"/>
  <c r="D32" i="6" s="1"/>
  <c r="C33" i="6"/>
  <c r="D33" i="6" s="1"/>
  <c r="C34" i="6"/>
  <c r="D34" i="6" s="1"/>
  <c r="C35" i="6"/>
  <c r="D35" i="6" s="1"/>
  <c r="C36" i="6"/>
  <c r="D36" i="6" s="1"/>
  <c r="C37" i="6"/>
  <c r="D37" i="6" s="1"/>
  <c r="C38" i="6"/>
  <c r="D38" i="6" s="1"/>
  <c r="C39" i="6"/>
  <c r="D39" i="6" s="1"/>
  <c r="C40" i="6"/>
  <c r="D40" i="6" s="1"/>
  <c r="C41" i="6"/>
  <c r="D41" i="6" s="1"/>
  <c r="C42" i="6"/>
  <c r="D42" i="6" s="1"/>
  <c r="C43" i="6"/>
  <c r="D43" i="6" s="1"/>
  <c r="C44" i="6"/>
  <c r="D44" i="6" s="1"/>
  <c r="C45" i="6"/>
  <c r="D45" i="6" s="1"/>
  <c r="C46" i="6"/>
  <c r="D46" i="6" s="1"/>
  <c r="C47" i="6"/>
  <c r="D47" i="6" s="1"/>
  <c r="C48" i="6"/>
  <c r="D48" i="6" s="1"/>
  <c r="C49" i="6"/>
  <c r="D49" i="6" s="1"/>
  <c r="C50" i="6"/>
  <c r="D50" i="6" s="1"/>
  <c r="C51" i="6"/>
  <c r="D51" i="6" s="1"/>
  <c r="C52" i="6"/>
  <c r="D52" i="6" s="1"/>
  <c r="C53" i="6"/>
  <c r="D53" i="6" s="1"/>
  <c r="C54" i="6"/>
  <c r="D54" i="6" s="1"/>
  <c r="C55" i="6"/>
  <c r="D55" i="6" s="1"/>
  <c r="C56" i="6"/>
  <c r="D56" i="6" s="1"/>
  <c r="C57" i="6"/>
  <c r="D57" i="6" s="1"/>
  <c r="C4" i="6"/>
  <c r="D4" i="6" s="1"/>
  <c r="C22" i="3" l="1"/>
  <c r="C18" i="3"/>
  <c r="C23" i="3" s="1"/>
  <c r="C19" i="3"/>
  <c r="C24" i="3" s="1"/>
  <c r="C20" i="3"/>
  <c r="C25" i="3" s="1"/>
  <c r="C16" i="3"/>
  <c r="C21" i="3" s="1"/>
  <c r="I17" i="3"/>
  <c r="I22" i="3" s="1"/>
  <c r="I18" i="3"/>
  <c r="I23" i="3" s="1"/>
  <c r="I19" i="3"/>
  <c r="I24" i="3" s="1"/>
  <c r="I20" i="3"/>
  <c r="I25" i="3" s="1"/>
  <c r="I16" i="3"/>
  <c r="I21" i="3" s="1"/>
  <c r="H16" i="3"/>
  <c r="H21" i="3" s="1"/>
  <c r="H20" i="3"/>
  <c r="H25" i="3" s="1"/>
  <c r="H17" i="3"/>
  <c r="H22" i="3" s="1"/>
  <c r="H18" i="3"/>
  <c r="H23" i="3" s="1"/>
  <c r="H19" i="3"/>
  <c r="H24" i="3" s="1"/>
  <c r="G17" i="3"/>
  <c r="G22" i="3" s="1"/>
  <c r="G18" i="3"/>
  <c r="G23" i="3" s="1"/>
  <c r="G19" i="3"/>
  <c r="G24" i="3" s="1"/>
  <c r="G20" i="3"/>
  <c r="G25" i="3" s="1"/>
  <c r="G16" i="3"/>
  <c r="G21" i="3" s="1"/>
  <c r="F17" i="3"/>
  <c r="F22" i="3" s="1"/>
  <c r="F18" i="3"/>
  <c r="F23" i="3" s="1"/>
  <c r="F19" i="3"/>
  <c r="F24" i="3" s="1"/>
  <c r="F20" i="3"/>
  <c r="F25" i="3" s="1"/>
  <c r="F16" i="3"/>
  <c r="F21" i="3" s="1"/>
  <c r="J17" i="3"/>
  <c r="J22" i="3" s="1"/>
  <c r="J18" i="3"/>
  <c r="J19" i="3"/>
  <c r="J24" i="3" s="1"/>
  <c r="J20" i="3"/>
  <c r="J25" i="3" s="1"/>
  <c r="J16" i="3"/>
  <c r="J21" i="3" s="1"/>
  <c r="E17" i="3"/>
  <c r="E22" i="3" s="1"/>
  <c r="E18" i="3"/>
  <c r="E23" i="3" s="1"/>
  <c r="E19" i="3"/>
  <c r="E24" i="3" s="1"/>
  <c r="E20" i="3"/>
  <c r="E25" i="3" s="1"/>
  <c r="E16" i="3"/>
  <c r="E21" i="3" s="1"/>
  <c r="D17" i="3"/>
  <c r="D22" i="3" s="1"/>
  <c r="D18" i="3"/>
  <c r="D23" i="3" s="1"/>
  <c r="D19" i="3"/>
  <c r="D24" i="3" s="1"/>
  <c r="D20" i="3"/>
  <c r="D25" i="3" s="1"/>
  <c r="D16" i="3"/>
  <c r="D21" i="3" s="1"/>
  <c r="L61" i="2"/>
  <c r="L60" i="2"/>
  <c r="L59" i="2"/>
  <c r="L58" i="2"/>
  <c r="L57" i="2"/>
  <c r="L34" i="2"/>
  <c r="L33" i="2"/>
  <c r="L32" i="2"/>
  <c r="L31" i="2"/>
  <c r="L30" i="2"/>
  <c r="O7" i="2"/>
  <c r="O6" i="2"/>
  <c r="O5" i="2"/>
  <c r="O4" i="2"/>
  <c r="O3" i="2"/>
  <c r="C79" i="2"/>
  <c r="G76" i="2"/>
  <c r="C76" i="2"/>
  <c r="H73" i="2"/>
  <c r="D73" i="2"/>
  <c r="F70" i="2"/>
  <c r="E70" i="2"/>
  <c r="J67" i="2"/>
  <c r="G67" i="2"/>
  <c r="F67" i="2"/>
  <c r="F52" i="2"/>
  <c r="F46" i="2"/>
  <c r="I43" i="2"/>
  <c r="F22" i="2"/>
  <c r="N13" i="2"/>
  <c r="N14" i="2"/>
  <c r="N15" i="2"/>
  <c r="N16" i="2"/>
  <c r="N17" i="2"/>
  <c r="N18" i="2"/>
  <c r="N19" i="2"/>
  <c r="N20" i="2"/>
  <c r="N21" i="2"/>
  <c r="N22" i="2"/>
  <c r="N23" i="2"/>
  <c r="N24" i="2"/>
  <c r="N25" i="2"/>
  <c r="N26" i="2"/>
  <c r="N27" i="2"/>
  <c r="N28" i="2"/>
  <c r="N29" i="2"/>
  <c r="N30" i="2"/>
  <c r="N31" i="2"/>
  <c r="N32" i="2"/>
  <c r="N33" i="2"/>
  <c r="N34" i="2"/>
  <c r="N35" i="2"/>
  <c r="N36" i="2"/>
  <c r="N37" i="2"/>
  <c r="N38" i="2"/>
  <c r="N39" i="2"/>
  <c r="N40" i="2"/>
  <c r="N41" i="2"/>
  <c r="N42" i="2"/>
  <c r="N43" i="2"/>
  <c r="N44" i="2"/>
  <c r="N45" i="2"/>
  <c r="N46" i="2"/>
  <c r="N47" i="2"/>
  <c r="N48" i="2"/>
  <c r="N49" i="2"/>
  <c r="N50" i="2"/>
  <c r="N51" i="2"/>
  <c r="N52" i="2"/>
  <c r="N53" i="2"/>
  <c r="N54" i="2"/>
  <c r="N55" i="2"/>
  <c r="N56" i="2"/>
  <c r="N57" i="2"/>
  <c r="N58" i="2"/>
  <c r="N59" i="2"/>
  <c r="N60" i="2"/>
  <c r="N61" i="2"/>
  <c r="N62" i="2"/>
  <c r="N63" i="2"/>
  <c r="N64" i="2"/>
  <c r="N65" i="2"/>
  <c r="N66" i="2"/>
  <c r="N67" i="2"/>
  <c r="N68" i="2"/>
  <c r="N69" i="2"/>
  <c r="N70" i="2"/>
  <c r="N71" i="2"/>
  <c r="N72" i="2"/>
  <c r="N73" i="2"/>
  <c r="N74" i="2"/>
  <c r="N75" i="2"/>
  <c r="N76" i="2"/>
  <c r="N77" i="2"/>
  <c r="N78" i="2"/>
  <c r="N79" i="2"/>
  <c r="N80" i="2"/>
  <c r="N81" i="2"/>
  <c r="N82" i="2"/>
  <c r="N83" i="2"/>
  <c r="N84" i="2"/>
  <c r="N85" i="2"/>
  <c r="N86" i="2"/>
  <c r="N87" i="2"/>
  <c r="N88" i="2"/>
  <c r="N89" i="2"/>
  <c r="N90" i="2"/>
  <c r="N91" i="2"/>
  <c r="N92" i="2"/>
  <c r="N93" i="2"/>
  <c r="N94" i="2"/>
  <c r="N95" i="2"/>
  <c r="N96" i="2"/>
  <c r="N97" i="2"/>
  <c r="N98" i="2"/>
  <c r="N99" i="2"/>
  <c r="N100" i="2"/>
  <c r="N101" i="2"/>
  <c r="N102" i="2"/>
  <c r="N103" i="2"/>
  <c r="N104" i="2"/>
  <c r="N105" i="2"/>
  <c r="N106" i="2"/>
  <c r="N107" i="2"/>
  <c r="N108" i="2"/>
  <c r="N109" i="2"/>
  <c r="N110" i="2"/>
  <c r="N111" i="2"/>
  <c r="N112" i="2"/>
  <c r="N113" i="2"/>
  <c r="N114" i="2"/>
  <c r="N115" i="2"/>
  <c r="N116" i="2"/>
  <c r="N117" i="2"/>
  <c r="N118" i="2"/>
  <c r="N119" i="2"/>
  <c r="N120" i="2"/>
  <c r="N121" i="2"/>
  <c r="N122" i="2"/>
  <c r="N123" i="2"/>
  <c r="N124" i="2"/>
  <c r="N125" i="2"/>
  <c r="N126" i="2"/>
  <c r="N127" i="2"/>
  <c r="N128" i="2"/>
  <c r="N129" i="2"/>
  <c r="N130" i="2"/>
  <c r="N131" i="2"/>
  <c r="N132" i="2"/>
  <c r="N133" i="2"/>
  <c r="N134" i="2"/>
  <c r="N135" i="2"/>
  <c r="N136" i="2"/>
  <c r="N137" i="2"/>
  <c r="N138" i="2"/>
  <c r="N139" i="2"/>
  <c r="N140" i="2"/>
  <c r="N141" i="2"/>
  <c r="N142" i="2"/>
  <c r="N143" i="2"/>
  <c r="N144" i="2"/>
  <c r="N145" i="2"/>
  <c r="N146" i="2"/>
  <c r="N147" i="2"/>
  <c r="N148" i="2"/>
  <c r="N149" i="2"/>
  <c r="N150" i="2"/>
  <c r="N151" i="2"/>
  <c r="N152" i="2"/>
  <c r="N153" i="2"/>
  <c r="N154" i="2"/>
  <c r="N155" i="2"/>
  <c r="N156" i="2"/>
  <c r="N157" i="2"/>
  <c r="N158" i="2"/>
  <c r="N159" i="2"/>
  <c r="N160" i="2"/>
  <c r="N161" i="2"/>
  <c r="N162" i="2"/>
  <c r="N163" i="2"/>
  <c r="N164" i="2"/>
  <c r="N165" i="2"/>
  <c r="N166" i="2"/>
  <c r="N167" i="2"/>
  <c r="N168" i="2"/>
  <c r="N169" i="2"/>
  <c r="N170" i="2"/>
  <c r="N171" i="2"/>
  <c r="N172" i="2"/>
  <c r="N173" i="2"/>
  <c r="N174" i="2"/>
  <c r="N175" i="2"/>
  <c r="N176" i="2"/>
  <c r="O13" i="2"/>
  <c r="P13" i="2"/>
  <c r="Q13" i="2"/>
  <c r="R13" i="2"/>
  <c r="S13" i="2"/>
  <c r="T13" i="2"/>
  <c r="U13" i="2"/>
  <c r="V13" i="2"/>
  <c r="W13" i="2"/>
  <c r="X13" i="2"/>
  <c r="Y13" i="2"/>
  <c r="Z13" i="2"/>
  <c r="AA13" i="2"/>
  <c r="AB13" i="2"/>
  <c r="O14" i="2"/>
  <c r="P14" i="2"/>
  <c r="Q14" i="2"/>
  <c r="R14" i="2"/>
  <c r="S14" i="2"/>
  <c r="T14" i="2"/>
  <c r="U14" i="2"/>
  <c r="V14" i="2"/>
  <c r="W14" i="2"/>
  <c r="X14" i="2"/>
  <c r="Y14" i="2"/>
  <c r="Z14" i="2"/>
  <c r="AA14" i="2"/>
  <c r="AB14" i="2"/>
  <c r="O15" i="2"/>
  <c r="B19" i="2" s="1"/>
  <c r="P15" i="2"/>
  <c r="C19" i="2" s="1"/>
  <c r="Q15" i="2"/>
  <c r="D19" i="2" s="1"/>
  <c r="R15" i="2"/>
  <c r="E19" i="2" s="1"/>
  <c r="S15" i="2"/>
  <c r="F19" i="2" s="1"/>
  <c r="T15" i="2"/>
  <c r="G19" i="2" s="1"/>
  <c r="U15" i="2"/>
  <c r="H19" i="2" s="1"/>
  <c r="V15" i="2"/>
  <c r="I19" i="2" s="1"/>
  <c r="W15" i="2"/>
  <c r="J19" i="2" s="1"/>
  <c r="X15" i="2"/>
  <c r="Y15" i="2"/>
  <c r="Z15" i="2"/>
  <c r="AA15" i="2"/>
  <c r="AB15" i="2"/>
  <c r="O16" i="2"/>
  <c r="P16" i="2"/>
  <c r="Q16" i="2"/>
  <c r="R16" i="2"/>
  <c r="S16" i="2"/>
  <c r="T16" i="2"/>
  <c r="U16" i="2"/>
  <c r="V16" i="2"/>
  <c r="W16" i="2"/>
  <c r="X16" i="2"/>
  <c r="Y16" i="2"/>
  <c r="Z16" i="2"/>
  <c r="AA16" i="2"/>
  <c r="AB16" i="2"/>
  <c r="O17" i="2"/>
  <c r="P17" i="2"/>
  <c r="Q17" i="2"/>
  <c r="R17" i="2"/>
  <c r="S17" i="2"/>
  <c r="T17" i="2"/>
  <c r="U17" i="2"/>
  <c r="V17" i="2"/>
  <c r="W17" i="2"/>
  <c r="X17" i="2"/>
  <c r="Y17" i="2"/>
  <c r="Z17" i="2"/>
  <c r="AA17" i="2"/>
  <c r="AB17" i="2"/>
  <c r="O18" i="2"/>
  <c r="B22" i="2" s="1"/>
  <c r="P18" i="2"/>
  <c r="C22" i="2" s="1"/>
  <c r="Q18" i="2"/>
  <c r="D22" i="2" s="1"/>
  <c r="R18" i="2"/>
  <c r="E22" i="2" s="1"/>
  <c r="S18" i="2"/>
  <c r="T18" i="2"/>
  <c r="G22" i="2" s="1"/>
  <c r="U18" i="2"/>
  <c r="H22" i="2" s="1"/>
  <c r="V18" i="2"/>
  <c r="I22" i="2" s="1"/>
  <c r="W18" i="2"/>
  <c r="J22" i="2" s="1"/>
  <c r="X18" i="2"/>
  <c r="Y18" i="2"/>
  <c r="Z18" i="2"/>
  <c r="AA18" i="2"/>
  <c r="AB18" i="2"/>
  <c r="O19" i="2"/>
  <c r="P19" i="2"/>
  <c r="Q19" i="2"/>
  <c r="R19" i="2"/>
  <c r="S19" i="2"/>
  <c r="T19" i="2"/>
  <c r="U19" i="2"/>
  <c r="V19" i="2"/>
  <c r="W19" i="2"/>
  <c r="X19" i="2"/>
  <c r="Y19" i="2"/>
  <c r="Z19" i="2"/>
  <c r="AA19" i="2"/>
  <c r="AB19" i="2"/>
  <c r="O20" i="2"/>
  <c r="P20" i="2"/>
  <c r="Q20" i="2"/>
  <c r="R20" i="2"/>
  <c r="S20" i="2"/>
  <c r="T20" i="2"/>
  <c r="U20" i="2"/>
  <c r="V20" i="2"/>
  <c r="W20" i="2"/>
  <c r="X20" i="2"/>
  <c r="Y20" i="2"/>
  <c r="Z20" i="2"/>
  <c r="AA20" i="2"/>
  <c r="AB20" i="2"/>
  <c r="O21" i="2"/>
  <c r="B25" i="2" s="1"/>
  <c r="P21" i="2"/>
  <c r="C25" i="2" s="1"/>
  <c r="Q21" i="2"/>
  <c r="D25" i="2" s="1"/>
  <c r="R21" i="2"/>
  <c r="E25" i="2" s="1"/>
  <c r="S21" i="2"/>
  <c r="F25" i="2" s="1"/>
  <c r="T21" i="2"/>
  <c r="G25" i="2" s="1"/>
  <c r="U21" i="2"/>
  <c r="H25" i="2" s="1"/>
  <c r="V21" i="2"/>
  <c r="I25" i="2" s="1"/>
  <c r="W21" i="2"/>
  <c r="J25" i="2" s="1"/>
  <c r="X21" i="2"/>
  <c r="Y21" i="2"/>
  <c r="Z21" i="2"/>
  <c r="AA21" i="2"/>
  <c r="AB21" i="2"/>
  <c r="O22" i="2"/>
  <c r="P22" i="2"/>
  <c r="Q22" i="2"/>
  <c r="R22" i="2"/>
  <c r="S22" i="2"/>
  <c r="T22" i="2"/>
  <c r="U22" i="2"/>
  <c r="V22" i="2"/>
  <c r="W22" i="2"/>
  <c r="X22" i="2"/>
  <c r="Y22" i="2"/>
  <c r="Z22" i="2"/>
  <c r="AA22" i="2"/>
  <c r="AB22" i="2"/>
  <c r="O23" i="2"/>
  <c r="P23" i="2"/>
  <c r="Q23" i="2"/>
  <c r="R23" i="2"/>
  <c r="S23" i="2"/>
  <c r="T23" i="2"/>
  <c r="U23" i="2"/>
  <c r="V23" i="2"/>
  <c r="W23" i="2"/>
  <c r="X23" i="2"/>
  <c r="Y23" i="2"/>
  <c r="Z23" i="2"/>
  <c r="AA23" i="2"/>
  <c r="AB23" i="2"/>
  <c r="O24" i="2"/>
  <c r="P24" i="2"/>
  <c r="Q24" i="2"/>
  <c r="R24" i="2"/>
  <c r="S24" i="2"/>
  <c r="T24" i="2"/>
  <c r="U24" i="2"/>
  <c r="V24" i="2"/>
  <c r="W24" i="2"/>
  <c r="X24" i="2"/>
  <c r="Y24" i="2"/>
  <c r="Z24" i="2"/>
  <c r="AA24" i="2"/>
  <c r="AB24" i="2"/>
  <c r="O25" i="2"/>
  <c r="P25" i="2"/>
  <c r="Q25" i="2"/>
  <c r="R25" i="2"/>
  <c r="S25" i="2"/>
  <c r="T25" i="2"/>
  <c r="U25" i="2"/>
  <c r="V25" i="2"/>
  <c r="W25" i="2"/>
  <c r="X25" i="2"/>
  <c r="Y25" i="2"/>
  <c r="Z25" i="2"/>
  <c r="AA25" i="2"/>
  <c r="AB25" i="2"/>
  <c r="O26" i="2"/>
  <c r="P26" i="2"/>
  <c r="Q26" i="2"/>
  <c r="R26" i="2"/>
  <c r="S26" i="2"/>
  <c r="T26" i="2"/>
  <c r="U26" i="2"/>
  <c r="V26" i="2"/>
  <c r="W26" i="2"/>
  <c r="X26" i="2"/>
  <c r="Y26" i="2"/>
  <c r="Z26" i="2"/>
  <c r="AA26" i="2"/>
  <c r="AB26" i="2"/>
  <c r="O27" i="2"/>
  <c r="P27" i="2"/>
  <c r="Q27" i="2"/>
  <c r="R27" i="2"/>
  <c r="S27" i="2"/>
  <c r="T27" i="2"/>
  <c r="U27" i="2"/>
  <c r="V27" i="2"/>
  <c r="W27" i="2"/>
  <c r="X27" i="2"/>
  <c r="Y27" i="2"/>
  <c r="Z27" i="2"/>
  <c r="AA27" i="2"/>
  <c r="AB27" i="2"/>
  <c r="O28" i="2"/>
  <c r="P28" i="2"/>
  <c r="Q28" i="2"/>
  <c r="R28" i="2"/>
  <c r="S28" i="2"/>
  <c r="T28" i="2"/>
  <c r="U28" i="2"/>
  <c r="V28" i="2"/>
  <c r="W28" i="2"/>
  <c r="X28" i="2"/>
  <c r="Y28" i="2"/>
  <c r="Z28" i="2"/>
  <c r="AA28" i="2"/>
  <c r="AB28" i="2"/>
  <c r="O29" i="2"/>
  <c r="P29" i="2"/>
  <c r="Q29" i="2"/>
  <c r="R29" i="2"/>
  <c r="S29" i="2"/>
  <c r="T29" i="2"/>
  <c r="U29" i="2"/>
  <c r="V29" i="2"/>
  <c r="W29" i="2"/>
  <c r="X29" i="2"/>
  <c r="Y29" i="2"/>
  <c r="Z29" i="2"/>
  <c r="AA29" i="2"/>
  <c r="AB29" i="2"/>
  <c r="O30" i="2"/>
  <c r="P30" i="2"/>
  <c r="Q30" i="2"/>
  <c r="R30" i="2"/>
  <c r="S30" i="2"/>
  <c r="T30" i="2"/>
  <c r="U30" i="2"/>
  <c r="V30" i="2"/>
  <c r="W30" i="2"/>
  <c r="X30" i="2"/>
  <c r="Y30" i="2"/>
  <c r="Z30" i="2"/>
  <c r="AA30" i="2"/>
  <c r="AB30" i="2"/>
  <c r="O31" i="2"/>
  <c r="P31" i="2"/>
  <c r="Q31" i="2"/>
  <c r="R31" i="2"/>
  <c r="S31" i="2"/>
  <c r="T31" i="2"/>
  <c r="U31" i="2"/>
  <c r="V31" i="2"/>
  <c r="W31" i="2"/>
  <c r="X31" i="2"/>
  <c r="Y31" i="2"/>
  <c r="Z31" i="2"/>
  <c r="AA31" i="2"/>
  <c r="AB31" i="2"/>
  <c r="O32" i="2"/>
  <c r="P32" i="2"/>
  <c r="Q32" i="2"/>
  <c r="R32" i="2"/>
  <c r="S32" i="2"/>
  <c r="T32" i="2"/>
  <c r="U32" i="2"/>
  <c r="V32" i="2"/>
  <c r="W32" i="2"/>
  <c r="X32" i="2"/>
  <c r="Y32" i="2"/>
  <c r="Z32" i="2"/>
  <c r="AA32" i="2"/>
  <c r="AB32" i="2"/>
  <c r="O33" i="2"/>
  <c r="P33" i="2"/>
  <c r="Q33" i="2"/>
  <c r="R33" i="2"/>
  <c r="S33" i="2"/>
  <c r="T33" i="2"/>
  <c r="U33" i="2"/>
  <c r="V33" i="2"/>
  <c r="W33" i="2"/>
  <c r="X33" i="2"/>
  <c r="Y33" i="2"/>
  <c r="Z33" i="2"/>
  <c r="AA33" i="2"/>
  <c r="AB33" i="2"/>
  <c r="O34" i="2"/>
  <c r="P34" i="2"/>
  <c r="Q34" i="2"/>
  <c r="R34" i="2"/>
  <c r="S34" i="2"/>
  <c r="T34" i="2"/>
  <c r="U34" i="2"/>
  <c r="V34" i="2"/>
  <c r="W34" i="2"/>
  <c r="X34" i="2"/>
  <c r="Y34" i="2"/>
  <c r="Z34" i="2"/>
  <c r="AA34" i="2"/>
  <c r="AB34" i="2"/>
  <c r="O35" i="2"/>
  <c r="P35" i="2"/>
  <c r="Q35" i="2"/>
  <c r="R35" i="2"/>
  <c r="S35" i="2"/>
  <c r="T35" i="2"/>
  <c r="U35" i="2"/>
  <c r="V35" i="2"/>
  <c r="W35" i="2"/>
  <c r="X35" i="2"/>
  <c r="Y35" i="2"/>
  <c r="Z35" i="2"/>
  <c r="AA35" i="2"/>
  <c r="AB35" i="2"/>
  <c r="O36" i="2"/>
  <c r="P36" i="2"/>
  <c r="Q36" i="2"/>
  <c r="R36" i="2"/>
  <c r="S36" i="2"/>
  <c r="T36" i="2"/>
  <c r="U36" i="2"/>
  <c r="V36" i="2"/>
  <c r="W36" i="2"/>
  <c r="X36" i="2"/>
  <c r="Y36" i="2"/>
  <c r="Z36" i="2"/>
  <c r="AA36" i="2"/>
  <c r="AB36" i="2"/>
  <c r="O37" i="2"/>
  <c r="P37" i="2"/>
  <c r="Q37" i="2"/>
  <c r="R37" i="2"/>
  <c r="S37" i="2"/>
  <c r="T37" i="2"/>
  <c r="U37" i="2"/>
  <c r="V37" i="2"/>
  <c r="W37" i="2"/>
  <c r="X37" i="2"/>
  <c r="Y37" i="2"/>
  <c r="Z37" i="2"/>
  <c r="AA37" i="2"/>
  <c r="AB37" i="2"/>
  <c r="O38" i="2"/>
  <c r="P38" i="2"/>
  <c r="Q38" i="2"/>
  <c r="R38" i="2"/>
  <c r="S38" i="2"/>
  <c r="T38" i="2"/>
  <c r="U38" i="2"/>
  <c r="V38" i="2"/>
  <c r="W38" i="2"/>
  <c r="X38" i="2"/>
  <c r="Y38" i="2"/>
  <c r="Z38" i="2"/>
  <c r="AA38" i="2"/>
  <c r="AB38" i="2"/>
  <c r="O39" i="2"/>
  <c r="P39" i="2"/>
  <c r="Q39" i="2"/>
  <c r="R39" i="2"/>
  <c r="S39" i="2"/>
  <c r="T39" i="2"/>
  <c r="U39" i="2"/>
  <c r="H43" i="2" s="1"/>
  <c r="V39" i="2"/>
  <c r="W39" i="2"/>
  <c r="J43" i="2" s="1"/>
  <c r="X39" i="2"/>
  <c r="Y39" i="2"/>
  <c r="Z39" i="2"/>
  <c r="AA39" i="2"/>
  <c r="AB39" i="2"/>
  <c r="O40" i="2"/>
  <c r="P40" i="2"/>
  <c r="Q40" i="2"/>
  <c r="R40" i="2"/>
  <c r="S40" i="2"/>
  <c r="T40" i="2"/>
  <c r="U40" i="2"/>
  <c r="V40" i="2"/>
  <c r="W40" i="2"/>
  <c r="X40" i="2"/>
  <c r="Y40" i="2"/>
  <c r="Z40" i="2"/>
  <c r="AA40" i="2"/>
  <c r="AB40" i="2"/>
  <c r="O41" i="2"/>
  <c r="P41" i="2"/>
  <c r="Q41" i="2"/>
  <c r="R41" i="2"/>
  <c r="S41" i="2"/>
  <c r="T41" i="2"/>
  <c r="U41" i="2"/>
  <c r="V41" i="2"/>
  <c r="W41" i="2"/>
  <c r="X41" i="2"/>
  <c r="Y41" i="2"/>
  <c r="Z41" i="2"/>
  <c r="AA41" i="2"/>
  <c r="AB41" i="2"/>
  <c r="O42" i="2"/>
  <c r="B46" i="2" s="1"/>
  <c r="P42" i="2"/>
  <c r="C46" i="2" s="1"/>
  <c r="Q42" i="2"/>
  <c r="D46" i="2" s="1"/>
  <c r="R42" i="2"/>
  <c r="E46" i="2" s="1"/>
  <c r="S42" i="2"/>
  <c r="T42" i="2"/>
  <c r="G46" i="2" s="1"/>
  <c r="U42" i="2"/>
  <c r="H46" i="2" s="1"/>
  <c r="V42" i="2"/>
  <c r="I46" i="2" s="1"/>
  <c r="W42" i="2"/>
  <c r="J46" i="2" s="1"/>
  <c r="X42" i="2"/>
  <c r="Y42" i="2"/>
  <c r="Z42" i="2"/>
  <c r="AA42" i="2"/>
  <c r="AB42" i="2"/>
  <c r="O43" i="2"/>
  <c r="P43" i="2"/>
  <c r="Q43" i="2"/>
  <c r="R43" i="2"/>
  <c r="S43" i="2"/>
  <c r="T43" i="2"/>
  <c r="U43" i="2"/>
  <c r="V43" i="2"/>
  <c r="W43" i="2"/>
  <c r="X43" i="2"/>
  <c r="Y43" i="2"/>
  <c r="Z43" i="2"/>
  <c r="AA43" i="2"/>
  <c r="AB43" i="2"/>
  <c r="O44" i="2"/>
  <c r="P44" i="2"/>
  <c r="Q44" i="2"/>
  <c r="R44" i="2"/>
  <c r="S44" i="2"/>
  <c r="T44" i="2"/>
  <c r="U44" i="2"/>
  <c r="V44" i="2"/>
  <c r="W44" i="2"/>
  <c r="X44" i="2"/>
  <c r="Y44" i="2"/>
  <c r="Z44" i="2"/>
  <c r="AA44" i="2"/>
  <c r="AB44" i="2"/>
  <c r="O45" i="2"/>
  <c r="B49" i="2" s="1"/>
  <c r="P45" i="2"/>
  <c r="C49" i="2" s="1"/>
  <c r="Q45" i="2"/>
  <c r="D49" i="2" s="1"/>
  <c r="R45" i="2"/>
  <c r="E49" i="2" s="1"/>
  <c r="S45" i="2"/>
  <c r="F49" i="2" s="1"/>
  <c r="T45" i="2"/>
  <c r="G49" i="2" s="1"/>
  <c r="U45" i="2"/>
  <c r="H49" i="2" s="1"/>
  <c r="V45" i="2"/>
  <c r="I49" i="2" s="1"/>
  <c r="W45" i="2"/>
  <c r="J49" i="2" s="1"/>
  <c r="X45" i="2"/>
  <c r="Y45" i="2"/>
  <c r="Z45" i="2"/>
  <c r="AA45" i="2"/>
  <c r="AB45" i="2"/>
  <c r="O46" i="2"/>
  <c r="P46" i="2"/>
  <c r="Q46" i="2"/>
  <c r="R46" i="2"/>
  <c r="S46" i="2"/>
  <c r="T46" i="2"/>
  <c r="U46" i="2"/>
  <c r="V46" i="2"/>
  <c r="W46" i="2"/>
  <c r="X46" i="2"/>
  <c r="Y46" i="2"/>
  <c r="Z46" i="2"/>
  <c r="AA46" i="2"/>
  <c r="AB46" i="2"/>
  <c r="O47" i="2"/>
  <c r="P47" i="2"/>
  <c r="Q47" i="2"/>
  <c r="R47" i="2"/>
  <c r="S47" i="2"/>
  <c r="T47" i="2"/>
  <c r="U47" i="2"/>
  <c r="V47" i="2"/>
  <c r="W47" i="2"/>
  <c r="X47" i="2"/>
  <c r="Y47" i="2"/>
  <c r="Z47" i="2"/>
  <c r="AA47" i="2"/>
  <c r="AB47" i="2"/>
  <c r="O48" i="2"/>
  <c r="B52" i="2" s="1"/>
  <c r="P48" i="2"/>
  <c r="C52" i="2" s="1"/>
  <c r="Q48" i="2"/>
  <c r="D52" i="2" s="1"/>
  <c r="R48" i="2"/>
  <c r="E52" i="2" s="1"/>
  <c r="S48" i="2"/>
  <c r="T48" i="2"/>
  <c r="G52" i="2" s="1"/>
  <c r="U48" i="2"/>
  <c r="H52" i="2" s="1"/>
  <c r="V48" i="2"/>
  <c r="I52" i="2" s="1"/>
  <c r="W48" i="2"/>
  <c r="J52" i="2" s="1"/>
  <c r="X48" i="2"/>
  <c r="Y48" i="2"/>
  <c r="Z48" i="2"/>
  <c r="AA48" i="2"/>
  <c r="AB48" i="2"/>
  <c r="O49" i="2"/>
  <c r="P49" i="2"/>
  <c r="Q49" i="2"/>
  <c r="R49" i="2"/>
  <c r="S49" i="2"/>
  <c r="T49" i="2"/>
  <c r="U49" i="2"/>
  <c r="V49" i="2"/>
  <c r="W49" i="2"/>
  <c r="X49" i="2"/>
  <c r="Y49" i="2"/>
  <c r="Z49" i="2"/>
  <c r="AA49" i="2"/>
  <c r="AB49" i="2"/>
  <c r="O50" i="2"/>
  <c r="P50" i="2"/>
  <c r="Q50" i="2"/>
  <c r="R50" i="2"/>
  <c r="S50" i="2"/>
  <c r="T50" i="2"/>
  <c r="U50" i="2"/>
  <c r="V50" i="2"/>
  <c r="W50" i="2"/>
  <c r="X50" i="2"/>
  <c r="Y50" i="2"/>
  <c r="Z50" i="2"/>
  <c r="AA50" i="2"/>
  <c r="AB50" i="2"/>
  <c r="O51" i="2"/>
  <c r="P51" i="2"/>
  <c r="Q51" i="2"/>
  <c r="R51" i="2"/>
  <c r="S51" i="2"/>
  <c r="T51" i="2"/>
  <c r="U51" i="2"/>
  <c r="V51" i="2"/>
  <c r="W51" i="2"/>
  <c r="X51" i="2"/>
  <c r="Y51" i="2"/>
  <c r="Z51" i="2"/>
  <c r="AA51" i="2"/>
  <c r="AB51" i="2"/>
  <c r="O52" i="2"/>
  <c r="P52" i="2"/>
  <c r="Q52" i="2"/>
  <c r="R52" i="2"/>
  <c r="S52" i="2"/>
  <c r="T52" i="2"/>
  <c r="U52" i="2"/>
  <c r="V52" i="2"/>
  <c r="W52" i="2"/>
  <c r="X52" i="2"/>
  <c r="Y52" i="2"/>
  <c r="Z52" i="2"/>
  <c r="AA52" i="2"/>
  <c r="AB52" i="2"/>
  <c r="O53" i="2"/>
  <c r="P53" i="2"/>
  <c r="Q53" i="2"/>
  <c r="R53" i="2"/>
  <c r="S53" i="2"/>
  <c r="T53" i="2"/>
  <c r="U53" i="2"/>
  <c r="V53" i="2"/>
  <c r="W53" i="2"/>
  <c r="X53" i="2"/>
  <c r="Y53" i="2"/>
  <c r="Z53" i="2"/>
  <c r="AA53" i="2"/>
  <c r="AB53" i="2"/>
  <c r="O54" i="2"/>
  <c r="P54" i="2"/>
  <c r="Q54" i="2"/>
  <c r="R54" i="2"/>
  <c r="S54" i="2"/>
  <c r="T54" i="2"/>
  <c r="U54" i="2"/>
  <c r="V54" i="2"/>
  <c r="W54" i="2"/>
  <c r="X54" i="2"/>
  <c r="Y54" i="2"/>
  <c r="Z54" i="2"/>
  <c r="AA54" i="2"/>
  <c r="AB54" i="2"/>
  <c r="O55" i="2"/>
  <c r="P55" i="2"/>
  <c r="Q55" i="2"/>
  <c r="R55" i="2"/>
  <c r="S55" i="2"/>
  <c r="T55" i="2"/>
  <c r="U55" i="2"/>
  <c r="V55" i="2"/>
  <c r="W55" i="2"/>
  <c r="X55" i="2"/>
  <c r="Y55" i="2"/>
  <c r="Z55" i="2"/>
  <c r="AA55" i="2"/>
  <c r="AB55" i="2"/>
  <c r="O56" i="2"/>
  <c r="P56" i="2"/>
  <c r="Q56" i="2"/>
  <c r="R56" i="2"/>
  <c r="S56" i="2"/>
  <c r="T56" i="2"/>
  <c r="U56" i="2"/>
  <c r="V56" i="2"/>
  <c r="W56" i="2"/>
  <c r="X56" i="2"/>
  <c r="Y56" i="2"/>
  <c r="Z56" i="2"/>
  <c r="AA56" i="2"/>
  <c r="AB56" i="2"/>
  <c r="O57" i="2"/>
  <c r="P57" i="2"/>
  <c r="Q57" i="2"/>
  <c r="R57" i="2"/>
  <c r="S57" i="2"/>
  <c r="T57" i="2"/>
  <c r="U57" i="2"/>
  <c r="V57" i="2"/>
  <c r="W57" i="2"/>
  <c r="X57" i="2"/>
  <c r="Y57" i="2"/>
  <c r="Z57" i="2"/>
  <c r="AA57" i="2"/>
  <c r="AB57" i="2"/>
  <c r="O58" i="2"/>
  <c r="P58" i="2"/>
  <c r="Q58" i="2"/>
  <c r="R58" i="2"/>
  <c r="S58" i="2"/>
  <c r="T58" i="2"/>
  <c r="U58" i="2"/>
  <c r="V58" i="2"/>
  <c r="W58" i="2"/>
  <c r="X58" i="2"/>
  <c r="Y58" i="2"/>
  <c r="Z58" i="2"/>
  <c r="AA58" i="2"/>
  <c r="AB58" i="2"/>
  <c r="O59" i="2"/>
  <c r="P59" i="2"/>
  <c r="Q59" i="2"/>
  <c r="R59" i="2"/>
  <c r="S59" i="2"/>
  <c r="T59" i="2"/>
  <c r="U59" i="2"/>
  <c r="V59" i="2"/>
  <c r="W59" i="2"/>
  <c r="X59" i="2"/>
  <c r="Y59" i="2"/>
  <c r="Z59" i="2"/>
  <c r="AA59" i="2"/>
  <c r="AB59" i="2"/>
  <c r="O60" i="2"/>
  <c r="P60" i="2"/>
  <c r="Q60" i="2"/>
  <c r="R60" i="2"/>
  <c r="S60" i="2"/>
  <c r="T60" i="2"/>
  <c r="U60" i="2"/>
  <c r="V60" i="2"/>
  <c r="W60" i="2"/>
  <c r="X60" i="2"/>
  <c r="Y60" i="2"/>
  <c r="Z60" i="2"/>
  <c r="AA60" i="2"/>
  <c r="AB60" i="2"/>
  <c r="O61" i="2"/>
  <c r="P61" i="2"/>
  <c r="Q61" i="2"/>
  <c r="R61" i="2"/>
  <c r="S61" i="2"/>
  <c r="T61" i="2"/>
  <c r="U61" i="2"/>
  <c r="V61" i="2"/>
  <c r="W61" i="2"/>
  <c r="X61" i="2"/>
  <c r="Y61" i="2"/>
  <c r="Z61" i="2"/>
  <c r="AA61" i="2"/>
  <c r="AB61" i="2"/>
  <c r="O62" i="2"/>
  <c r="P62" i="2"/>
  <c r="Q62" i="2"/>
  <c r="R62" i="2"/>
  <c r="S62" i="2"/>
  <c r="T62" i="2"/>
  <c r="U62" i="2"/>
  <c r="V62" i="2"/>
  <c r="W62" i="2"/>
  <c r="X62" i="2"/>
  <c r="Y62" i="2"/>
  <c r="Z62" i="2"/>
  <c r="AA62" i="2"/>
  <c r="AB62" i="2"/>
  <c r="O63" i="2"/>
  <c r="P63" i="2"/>
  <c r="Q63" i="2"/>
  <c r="R63" i="2"/>
  <c r="S63" i="2"/>
  <c r="T63" i="2"/>
  <c r="U63" i="2"/>
  <c r="V63" i="2"/>
  <c r="W63" i="2"/>
  <c r="X63" i="2"/>
  <c r="Y63" i="2"/>
  <c r="Z63" i="2"/>
  <c r="AA63" i="2"/>
  <c r="AB63" i="2"/>
  <c r="O64" i="2"/>
  <c r="P64" i="2"/>
  <c r="Q64" i="2"/>
  <c r="R64" i="2"/>
  <c r="S64" i="2"/>
  <c r="T64" i="2"/>
  <c r="U64" i="2"/>
  <c r="V64" i="2"/>
  <c r="W64" i="2"/>
  <c r="X64" i="2"/>
  <c r="Y64" i="2"/>
  <c r="Z64" i="2"/>
  <c r="AA64" i="2"/>
  <c r="AB64" i="2"/>
  <c r="O65" i="2"/>
  <c r="P65" i="2"/>
  <c r="Q65" i="2"/>
  <c r="R65" i="2"/>
  <c r="S65" i="2"/>
  <c r="T65" i="2"/>
  <c r="U65" i="2"/>
  <c r="V65" i="2"/>
  <c r="W65" i="2"/>
  <c r="X65" i="2"/>
  <c r="Y65" i="2"/>
  <c r="Z65" i="2"/>
  <c r="AA65" i="2"/>
  <c r="AB65" i="2"/>
  <c r="O66" i="2"/>
  <c r="B67" i="2" s="1"/>
  <c r="P66" i="2"/>
  <c r="Q66" i="2"/>
  <c r="R66" i="2"/>
  <c r="S66" i="2"/>
  <c r="T66" i="2"/>
  <c r="U66" i="2"/>
  <c r="I70" i="2" s="1"/>
  <c r="V66" i="2"/>
  <c r="W66" i="2"/>
  <c r="J70" i="2" s="1"/>
  <c r="X66" i="2"/>
  <c r="Y66" i="2"/>
  <c r="Z66" i="2"/>
  <c r="AA66" i="2"/>
  <c r="AB66" i="2"/>
  <c r="O67" i="2"/>
  <c r="P67" i="2"/>
  <c r="Q67" i="2"/>
  <c r="R67" i="2"/>
  <c r="S67" i="2"/>
  <c r="T67" i="2"/>
  <c r="U67" i="2"/>
  <c r="V67" i="2"/>
  <c r="W67" i="2"/>
  <c r="X67" i="2"/>
  <c r="Y67" i="2"/>
  <c r="Z67" i="2"/>
  <c r="AA67" i="2"/>
  <c r="AB67" i="2"/>
  <c r="O68" i="2"/>
  <c r="P68" i="2"/>
  <c r="Q68" i="2"/>
  <c r="R68" i="2"/>
  <c r="S68" i="2"/>
  <c r="T68" i="2"/>
  <c r="U68" i="2"/>
  <c r="V68" i="2"/>
  <c r="W68" i="2"/>
  <c r="X68" i="2"/>
  <c r="Y68" i="2"/>
  <c r="Z68" i="2"/>
  <c r="AA68" i="2"/>
  <c r="AB68" i="2"/>
  <c r="O69" i="2"/>
  <c r="B73" i="2" s="1"/>
  <c r="P69" i="2"/>
  <c r="C73" i="2" s="1"/>
  <c r="Q69" i="2"/>
  <c r="R69" i="2"/>
  <c r="E73" i="2" s="1"/>
  <c r="S69" i="2"/>
  <c r="F73" i="2" s="1"/>
  <c r="T69" i="2"/>
  <c r="G73" i="2" s="1"/>
  <c r="U69" i="2"/>
  <c r="V69" i="2"/>
  <c r="I73" i="2" s="1"/>
  <c r="W69" i="2"/>
  <c r="J73" i="2" s="1"/>
  <c r="X69" i="2"/>
  <c r="Y69" i="2"/>
  <c r="Z69" i="2"/>
  <c r="AA69" i="2"/>
  <c r="AB69" i="2"/>
  <c r="O70" i="2"/>
  <c r="P70" i="2"/>
  <c r="Q70" i="2"/>
  <c r="R70" i="2"/>
  <c r="S70" i="2"/>
  <c r="T70" i="2"/>
  <c r="U70" i="2"/>
  <c r="V70" i="2"/>
  <c r="W70" i="2"/>
  <c r="X70" i="2"/>
  <c r="Y70" i="2"/>
  <c r="Z70" i="2"/>
  <c r="AA70" i="2"/>
  <c r="AB70" i="2"/>
  <c r="O71" i="2"/>
  <c r="P71" i="2"/>
  <c r="Q71" i="2"/>
  <c r="R71" i="2"/>
  <c r="S71" i="2"/>
  <c r="T71" i="2"/>
  <c r="U71" i="2"/>
  <c r="V71" i="2"/>
  <c r="W71" i="2"/>
  <c r="X71" i="2"/>
  <c r="Y71" i="2"/>
  <c r="Z71" i="2"/>
  <c r="AA71" i="2"/>
  <c r="AB71" i="2"/>
  <c r="O72" i="2"/>
  <c r="B76" i="2" s="1"/>
  <c r="P72" i="2"/>
  <c r="Q72" i="2"/>
  <c r="D76" i="2" s="1"/>
  <c r="R72" i="2"/>
  <c r="E76" i="2" s="1"/>
  <c r="S72" i="2"/>
  <c r="F76" i="2" s="1"/>
  <c r="T72" i="2"/>
  <c r="U72" i="2"/>
  <c r="H76" i="2" s="1"/>
  <c r="V72" i="2"/>
  <c r="I76" i="2" s="1"/>
  <c r="W72" i="2"/>
  <c r="J76" i="2" s="1"/>
  <c r="X72" i="2"/>
  <c r="Y72" i="2"/>
  <c r="Z72" i="2"/>
  <c r="AA72" i="2"/>
  <c r="AB72" i="2"/>
  <c r="O73" i="2"/>
  <c r="P73" i="2"/>
  <c r="Q73" i="2"/>
  <c r="R73" i="2"/>
  <c r="S73" i="2"/>
  <c r="T73" i="2"/>
  <c r="U73" i="2"/>
  <c r="V73" i="2"/>
  <c r="W73" i="2"/>
  <c r="X73" i="2"/>
  <c r="Y73" i="2"/>
  <c r="Z73" i="2"/>
  <c r="AA73" i="2"/>
  <c r="AB73" i="2"/>
  <c r="O74" i="2"/>
  <c r="P74" i="2"/>
  <c r="Q74" i="2"/>
  <c r="R74" i="2"/>
  <c r="S74" i="2"/>
  <c r="T74" i="2"/>
  <c r="U74" i="2"/>
  <c r="V74" i="2"/>
  <c r="W74" i="2"/>
  <c r="X74" i="2"/>
  <c r="Y74" i="2"/>
  <c r="Z74" i="2"/>
  <c r="AA74" i="2"/>
  <c r="AB74" i="2"/>
  <c r="O75" i="2"/>
  <c r="B79" i="2" s="1"/>
  <c r="P75" i="2"/>
  <c r="Q75" i="2"/>
  <c r="D79" i="2" s="1"/>
  <c r="R75" i="2"/>
  <c r="E79" i="2" s="1"/>
  <c r="S75" i="2"/>
  <c r="F79" i="2" s="1"/>
  <c r="T75" i="2"/>
  <c r="G79" i="2" s="1"/>
  <c r="U75" i="2"/>
  <c r="H79" i="2" s="1"/>
  <c r="V75" i="2"/>
  <c r="I79" i="2" s="1"/>
  <c r="W75" i="2"/>
  <c r="J79" i="2" s="1"/>
  <c r="X75" i="2"/>
  <c r="Y75" i="2"/>
  <c r="Z75" i="2"/>
  <c r="AA75" i="2"/>
  <c r="AB75" i="2"/>
  <c r="O76" i="2"/>
  <c r="P76" i="2"/>
  <c r="Q76" i="2"/>
  <c r="R76" i="2"/>
  <c r="S76" i="2"/>
  <c r="T76" i="2"/>
  <c r="U76" i="2"/>
  <c r="V76" i="2"/>
  <c r="W76" i="2"/>
  <c r="X76" i="2"/>
  <c r="Y76" i="2"/>
  <c r="Z76" i="2"/>
  <c r="AA76" i="2"/>
  <c r="AB76" i="2"/>
  <c r="O77" i="2"/>
  <c r="P77" i="2"/>
  <c r="Q77" i="2"/>
  <c r="R77" i="2"/>
  <c r="S77" i="2"/>
  <c r="T77" i="2"/>
  <c r="U77" i="2"/>
  <c r="V77" i="2"/>
  <c r="W77" i="2"/>
  <c r="X77" i="2"/>
  <c r="Y77" i="2"/>
  <c r="Z77" i="2"/>
  <c r="AA77" i="2"/>
  <c r="AB77" i="2"/>
  <c r="O78" i="2"/>
  <c r="P78" i="2"/>
  <c r="Q78" i="2"/>
  <c r="R78" i="2"/>
  <c r="S78" i="2"/>
  <c r="T78" i="2"/>
  <c r="U78" i="2"/>
  <c r="V78" i="2"/>
  <c r="W78" i="2"/>
  <c r="X78" i="2"/>
  <c r="Y78" i="2"/>
  <c r="Z78" i="2"/>
  <c r="AA78" i="2"/>
  <c r="AB78" i="2"/>
  <c r="O79" i="2"/>
  <c r="P79" i="2"/>
  <c r="Q79" i="2"/>
  <c r="R79" i="2"/>
  <c r="S79" i="2"/>
  <c r="T79" i="2"/>
  <c r="U79" i="2"/>
  <c r="V79" i="2"/>
  <c r="W79" i="2"/>
  <c r="X79" i="2"/>
  <c r="Y79" i="2"/>
  <c r="Z79" i="2"/>
  <c r="AA79" i="2"/>
  <c r="AB79" i="2"/>
  <c r="O80" i="2"/>
  <c r="P80" i="2"/>
  <c r="Q80" i="2"/>
  <c r="R80" i="2"/>
  <c r="S80" i="2"/>
  <c r="T80" i="2"/>
  <c r="U80" i="2"/>
  <c r="V80" i="2"/>
  <c r="W80" i="2"/>
  <c r="X80" i="2"/>
  <c r="Y80" i="2"/>
  <c r="Z80" i="2"/>
  <c r="AA80" i="2"/>
  <c r="AB80" i="2"/>
  <c r="O81" i="2"/>
  <c r="P81" i="2"/>
  <c r="Q81" i="2"/>
  <c r="R81" i="2"/>
  <c r="S81" i="2"/>
  <c r="T81" i="2"/>
  <c r="U81" i="2"/>
  <c r="V81" i="2"/>
  <c r="W81" i="2"/>
  <c r="X81" i="2"/>
  <c r="Y81" i="2"/>
  <c r="Z81" i="2"/>
  <c r="AA81" i="2"/>
  <c r="AB81" i="2"/>
  <c r="O82" i="2"/>
  <c r="P82" i="2"/>
  <c r="Q82" i="2"/>
  <c r="R82" i="2"/>
  <c r="S82" i="2"/>
  <c r="T82" i="2"/>
  <c r="U82" i="2"/>
  <c r="V82" i="2"/>
  <c r="W82" i="2"/>
  <c r="X82" i="2"/>
  <c r="Y82" i="2"/>
  <c r="Z82" i="2"/>
  <c r="AA82" i="2"/>
  <c r="AB82" i="2"/>
  <c r="O83" i="2"/>
  <c r="P83" i="2"/>
  <c r="Q83" i="2"/>
  <c r="R83" i="2"/>
  <c r="S83" i="2"/>
  <c r="T83" i="2"/>
  <c r="U83" i="2"/>
  <c r="V83" i="2"/>
  <c r="W83" i="2"/>
  <c r="X83" i="2"/>
  <c r="Y83" i="2"/>
  <c r="Z83" i="2"/>
  <c r="AA83" i="2"/>
  <c r="AB83" i="2"/>
  <c r="O84" i="2"/>
  <c r="P84" i="2"/>
  <c r="Q84" i="2"/>
  <c r="R84" i="2"/>
  <c r="S84" i="2"/>
  <c r="T84" i="2"/>
  <c r="U84" i="2"/>
  <c r="V84" i="2"/>
  <c r="W84" i="2"/>
  <c r="X84" i="2"/>
  <c r="Y84" i="2"/>
  <c r="Z84" i="2"/>
  <c r="AA84" i="2"/>
  <c r="AB84" i="2"/>
  <c r="O85" i="2"/>
  <c r="P85" i="2"/>
  <c r="Q85" i="2"/>
  <c r="R85" i="2"/>
  <c r="S85" i="2"/>
  <c r="T85" i="2"/>
  <c r="U85" i="2"/>
  <c r="V85" i="2"/>
  <c r="W85" i="2"/>
  <c r="X85" i="2"/>
  <c r="Y85" i="2"/>
  <c r="Z85" i="2"/>
  <c r="AA85" i="2"/>
  <c r="AB85" i="2"/>
  <c r="O86" i="2"/>
  <c r="P86" i="2"/>
  <c r="Q86" i="2"/>
  <c r="R86" i="2"/>
  <c r="S86" i="2"/>
  <c r="T86" i="2"/>
  <c r="U86" i="2"/>
  <c r="V86" i="2"/>
  <c r="W86" i="2"/>
  <c r="X86" i="2"/>
  <c r="Y86" i="2"/>
  <c r="Z86" i="2"/>
  <c r="AA86" i="2"/>
  <c r="AB86" i="2"/>
  <c r="O87" i="2"/>
  <c r="P87" i="2"/>
  <c r="Q87" i="2"/>
  <c r="R87" i="2"/>
  <c r="S87" i="2"/>
  <c r="T87" i="2"/>
  <c r="U87" i="2"/>
  <c r="V87" i="2"/>
  <c r="W87" i="2"/>
  <c r="X87" i="2"/>
  <c r="Y87" i="2"/>
  <c r="Z87" i="2"/>
  <c r="AA87" i="2"/>
  <c r="AB87" i="2"/>
  <c r="O88" i="2"/>
  <c r="P88" i="2"/>
  <c r="Q88" i="2"/>
  <c r="R88" i="2"/>
  <c r="S88" i="2"/>
  <c r="T88" i="2"/>
  <c r="U88" i="2"/>
  <c r="V88" i="2"/>
  <c r="W88" i="2"/>
  <c r="X88" i="2"/>
  <c r="Y88" i="2"/>
  <c r="Z88" i="2"/>
  <c r="AA88" i="2"/>
  <c r="AB88" i="2"/>
  <c r="O89" i="2"/>
  <c r="P89" i="2"/>
  <c r="Q89" i="2"/>
  <c r="R89" i="2"/>
  <c r="S89" i="2"/>
  <c r="T89" i="2"/>
  <c r="U89" i="2"/>
  <c r="V89" i="2"/>
  <c r="W89" i="2"/>
  <c r="X89" i="2"/>
  <c r="Y89" i="2"/>
  <c r="Z89" i="2"/>
  <c r="AA89" i="2"/>
  <c r="AB89" i="2"/>
  <c r="O90" i="2"/>
  <c r="P90" i="2"/>
  <c r="Q90" i="2"/>
  <c r="R90" i="2"/>
  <c r="S90" i="2"/>
  <c r="T90" i="2"/>
  <c r="U90" i="2"/>
  <c r="V90" i="2"/>
  <c r="W90" i="2"/>
  <c r="X90" i="2"/>
  <c r="Y90" i="2"/>
  <c r="Z90" i="2"/>
  <c r="AA90" i="2"/>
  <c r="AB90" i="2"/>
  <c r="O91" i="2"/>
  <c r="P91" i="2"/>
  <c r="Q91" i="2"/>
  <c r="R91" i="2"/>
  <c r="S91" i="2"/>
  <c r="T91" i="2"/>
  <c r="U91" i="2"/>
  <c r="V91" i="2"/>
  <c r="W91" i="2"/>
  <c r="X91" i="2"/>
  <c r="Y91" i="2"/>
  <c r="Z91" i="2"/>
  <c r="AA91" i="2"/>
  <c r="AB91" i="2"/>
  <c r="O92" i="2"/>
  <c r="P92" i="2"/>
  <c r="Q92" i="2"/>
  <c r="R92" i="2"/>
  <c r="S92" i="2"/>
  <c r="T92" i="2"/>
  <c r="U92" i="2"/>
  <c r="V92" i="2"/>
  <c r="W92" i="2"/>
  <c r="X92" i="2"/>
  <c r="Y92" i="2"/>
  <c r="Z92" i="2"/>
  <c r="AA92" i="2"/>
  <c r="AB92" i="2"/>
  <c r="O93" i="2"/>
  <c r="P93" i="2"/>
  <c r="Q93" i="2"/>
  <c r="R93" i="2"/>
  <c r="S93" i="2"/>
  <c r="T93" i="2"/>
  <c r="U93" i="2"/>
  <c r="V93" i="2"/>
  <c r="W93" i="2"/>
  <c r="X93" i="2"/>
  <c r="Y93" i="2"/>
  <c r="Z93" i="2"/>
  <c r="AA93" i="2"/>
  <c r="AB93" i="2"/>
  <c r="O94" i="2"/>
  <c r="P94" i="2"/>
  <c r="Q94" i="2"/>
  <c r="R94" i="2"/>
  <c r="S94" i="2"/>
  <c r="T94" i="2"/>
  <c r="U94" i="2"/>
  <c r="V94" i="2"/>
  <c r="W94" i="2"/>
  <c r="X94" i="2"/>
  <c r="Y94" i="2"/>
  <c r="Z94" i="2"/>
  <c r="AA94" i="2"/>
  <c r="AB94" i="2"/>
  <c r="O95" i="2"/>
  <c r="P95" i="2"/>
  <c r="Q95" i="2"/>
  <c r="R95" i="2"/>
  <c r="S95" i="2"/>
  <c r="T95" i="2"/>
  <c r="U95" i="2"/>
  <c r="V95" i="2"/>
  <c r="W95" i="2"/>
  <c r="X95" i="2"/>
  <c r="Y95" i="2"/>
  <c r="Z95" i="2"/>
  <c r="AA95" i="2"/>
  <c r="AB95" i="2"/>
  <c r="O96" i="2"/>
  <c r="P96" i="2"/>
  <c r="Q96" i="2"/>
  <c r="R96" i="2"/>
  <c r="S96" i="2"/>
  <c r="T96" i="2"/>
  <c r="U96" i="2"/>
  <c r="V96" i="2"/>
  <c r="W96" i="2"/>
  <c r="X96" i="2"/>
  <c r="Y96" i="2"/>
  <c r="Z96" i="2"/>
  <c r="AA96" i="2"/>
  <c r="AB96" i="2"/>
  <c r="O97" i="2"/>
  <c r="P97" i="2"/>
  <c r="Q97" i="2"/>
  <c r="R97" i="2"/>
  <c r="S97" i="2"/>
  <c r="T97" i="2"/>
  <c r="U97" i="2"/>
  <c r="V97" i="2"/>
  <c r="W97" i="2"/>
  <c r="X97" i="2"/>
  <c r="Y97" i="2"/>
  <c r="Z97" i="2"/>
  <c r="AA97" i="2"/>
  <c r="AB97" i="2"/>
  <c r="O98" i="2"/>
  <c r="P98" i="2"/>
  <c r="Q98" i="2"/>
  <c r="R98" i="2"/>
  <c r="S98" i="2"/>
  <c r="T98" i="2"/>
  <c r="U98" i="2"/>
  <c r="V98" i="2"/>
  <c r="W98" i="2"/>
  <c r="X98" i="2"/>
  <c r="Y98" i="2"/>
  <c r="Z98" i="2"/>
  <c r="AA98" i="2"/>
  <c r="AB98" i="2"/>
  <c r="O99" i="2"/>
  <c r="P99" i="2"/>
  <c r="Q99" i="2"/>
  <c r="R99" i="2"/>
  <c r="S99" i="2"/>
  <c r="T99" i="2"/>
  <c r="U99" i="2"/>
  <c r="V99" i="2"/>
  <c r="W99" i="2"/>
  <c r="X99" i="2"/>
  <c r="Y99" i="2"/>
  <c r="Z99" i="2"/>
  <c r="AA99" i="2"/>
  <c r="AB99" i="2"/>
  <c r="O100" i="2"/>
  <c r="P100" i="2"/>
  <c r="Q100" i="2"/>
  <c r="R100" i="2"/>
  <c r="S100" i="2"/>
  <c r="T100" i="2"/>
  <c r="U100" i="2"/>
  <c r="V100" i="2"/>
  <c r="W100" i="2"/>
  <c r="X100" i="2"/>
  <c r="Y100" i="2"/>
  <c r="Z100" i="2"/>
  <c r="AA100" i="2"/>
  <c r="AB100" i="2"/>
  <c r="O101" i="2"/>
  <c r="P101" i="2"/>
  <c r="Q101" i="2"/>
  <c r="R101" i="2"/>
  <c r="S101" i="2"/>
  <c r="T101" i="2"/>
  <c r="U101" i="2"/>
  <c r="V101" i="2"/>
  <c r="W101" i="2"/>
  <c r="X101" i="2"/>
  <c r="Y101" i="2"/>
  <c r="Z101" i="2"/>
  <c r="AA101" i="2"/>
  <c r="AB101" i="2"/>
  <c r="O102" i="2"/>
  <c r="P102" i="2"/>
  <c r="Q102" i="2"/>
  <c r="R102" i="2"/>
  <c r="S102" i="2"/>
  <c r="T102" i="2"/>
  <c r="U102" i="2"/>
  <c r="V102" i="2"/>
  <c r="W102" i="2"/>
  <c r="X102" i="2"/>
  <c r="Y102" i="2"/>
  <c r="Z102" i="2"/>
  <c r="AA102" i="2"/>
  <c r="AB102" i="2"/>
  <c r="O103" i="2"/>
  <c r="P103" i="2"/>
  <c r="Q103" i="2"/>
  <c r="R103" i="2"/>
  <c r="S103" i="2"/>
  <c r="T103" i="2"/>
  <c r="U103" i="2"/>
  <c r="V103" i="2"/>
  <c r="W103" i="2"/>
  <c r="X103" i="2"/>
  <c r="Y103" i="2"/>
  <c r="Z103" i="2"/>
  <c r="AA103" i="2"/>
  <c r="AB103" i="2"/>
  <c r="O104" i="2"/>
  <c r="P104" i="2"/>
  <c r="Q104" i="2"/>
  <c r="R104" i="2"/>
  <c r="S104" i="2"/>
  <c r="T104" i="2"/>
  <c r="U104" i="2"/>
  <c r="V104" i="2"/>
  <c r="W104" i="2"/>
  <c r="X104" i="2"/>
  <c r="Y104" i="2"/>
  <c r="Z104" i="2"/>
  <c r="AA104" i="2"/>
  <c r="AB104" i="2"/>
  <c r="O105" i="2"/>
  <c r="P105" i="2"/>
  <c r="Q105" i="2"/>
  <c r="R105" i="2"/>
  <c r="S105" i="2"/>
  <c r="T105" i="2"/>
  <c r="U105" i="2"/>
  <c r="V105" i="2"/>
  <c r="W105" i="2"/>
  <c r="X105" i="2"/>
  <c r="Y105" i="2"/>
  <c r="Z105" i="2"/>
  <c r="AA105" i="2"/>
  <c r="AB105" i="2"/>
  <c r="O106" i="2"/>
  <c r="P106" i="2"/>
  <c r="Q106" i="2"/>
  <c r="R106" i="2"/>
  <c r="S106" i="2"/>
  <c r="T106" i="2"/>
  <c r="U106" i="2"/>
  <c r="V106" i="2"/>
  <c r="W106" i="2"/>
  <c r="X106" i="2"/>
  <c r="Y106" i="2"/>
  <c r="Z106" i="2"/>
  <c r="AA106" i="2"/>
  <c r="AB106" i="2"/>
  <c r="O107" i="2"/>
  <c r="P107" i="2"/>
  <c r="Q107" i="2"/>
  <c r="R107" i="2"/>
  <c r="S107" i="2"/>
  <c r="T107" i="2"/>
  <c r="U107" i="2"/>
  <c r="V107" i="2"/>
  <c r="W107" i="2"/>
  <c r="X107" i="2"/>
  <c r="Y107" i="2"/>
  <c r="Z107" i="2"/>
  <c r="AA107" i="2"/>
  <c r="AB107" i="2"/>
  <c r="O108" i="2"/>
  <c r="P108" i="2"/>
  <c r="Q108" i="2"/>
  <c r="R108" i="2"/>
  <c r="S108" i="2"/>
  <c r="T108" i="2"/>
  <c r="U108" i="2"/>
  <c r="V108" i="2"/>
  <c r="W108" i="2"/>
  <c r="X108" i="2"/>
  <c r="Y108" i="2"/>
  <c r="Z108" i="2"/>
  <c r="AA108" i="2"/>
  <c r="AB108" i="2"/>
  <c r="O109" i="2"/>
  <c r="P109" i="2"/>
  <c r="Q109" i="2"/>
  <c r="R109" i="2"/>
  <c r="S109" i="2"/>
  <c r="T109" i="2"/>
  <c r="U109" i="2"/>
  <c r="V109" i="2"/>
  <c r="W109" i="2"/>
  <c r="X109" i="2"/>
  <c r="Y109" i="2"/>
  <c r="Z109" i="2"/>
  <c r="AA109" i="2"/>
  <c r="AB109" i="2"/>
  <c r="O110" i="2"/>
  <c r="P110" i="2"/>
  <c r="Q110" i="2"/>
  <c r="R110" i="2"/>
  <c r="S110" i="2"/>
  <c r="T110" i="2"/>
  <c r="U110" i="2"/>
  <c r="V110" i="2"/>
  <c r="W110" i="2"/>
  <c r="X110" i="2"/>
  <c r="Y110" i="2"/>
  <c r="Z110" i="2"/>
  <c r="AA110" i="2"/>
  <c r="AB110" i="2"/>
  <c r="O111" i="2"/>
  <c r="P111" i="2"/>
  <c r="Q111" i="2"/>
  <c r="R111" i="2"/>
  <c r="S111" i="2"/>
  <c r="T111" i="2"/>
  <c r="U111" i="2"/>
  <c r="V111" i="2"/>
  <c r="W111" i="2"/>
  <c r="X111" i="2"/>
  <c r="Y111" i="2"/>
  <c r="Z111" i="2"/>
  <c r="AA111" i="2"/>
  <c r="AB111" i="2"/>
  <c r="O112" i="2"/>
  <c r="P112" i="2"/>
  <c r="Q112" i="2"/>
  <c r="R112" i="2"/>
  <c r="S112" i="2"/>
  <c r="T112" i="2"/>
  <c r="U112" i="2"/>
  <c r="V112" i="2"/>
  <c r="W112" i="2"/>
  <c r="X112" i="2"/>
  <c r="Y112" i="2"/>
  <c r="Z112" i="2"/>
  <c r="AA112" i="2"/>
  <c r="AB112" i="2"/>
  <c r="O113" i="2"/>
  <c r="P113" i="2"/>
  <c r="Q113" i="2"/>
  <c r="R113" i="2"/>
  <c r="S113" i="2"/>
  <c r="T113" i="2"/>
  <c r="U113" i="2"/>
  <c r="V113" i="2"/>
  <c r="W113" i="2"/>
  <c r="X113" i="2"/>
  <c r="Y113" i="2"/>
  <c r="Z113" i="2"/>
  <c r="AA113" i="2"/>
  <c r="AB113" i="2"/>
  <c r="O114" i="2"/>
  <c r="P114" i="2"/>
  <c r="Q114" i="2"/>
  <c r="R114" i="2"/>
  <c r="S114" i="2"/>
  <c r="T114" i="2"/>
  <c r="U114" i="2"/>
  <c r="V114" i="2"/>
  <c r="W114" i="2"/>
  <c r="X114" i="2"/>
  <c r="Y114" i="2"/>
  <c r="Z114" i="2"/>
  <c r="AA114" i="2"/>
  <c r="AB114" i="2"/>
  <c r="O115" i="2"/>
  <c r="P115" i="2"/>
  <c r="Q115" i="2"/>
  <c r="R115" i="2"/>
  <c r="S115" i="2"/>
  <c r="T115" i="2"/>
  <c r="U115" i="2"/>
  <c r="V115" i="2"/>
  <c r="W115" i="2"/>
  <c r="X115" i="2"/>
  <c r="Y115" i="2"/>
  <c r="Z115" i="2"/>
  <c r="AA115" i="2"/>
  <c r="AB115" i="2"/>
  <c r="O116" i="2"/>
  <c r="P116" i="2"/>
  <c r="Q116" i="2"/>
  <c r="R116" i="2"/>
  <c r="S116" i="2"/>
  <c r="T116" i="2"/>
  <c r="U116" i="2"/>
  <c r="V116" i="2"/>
  <c r="W116" i="2"/>
  <c r="X116" i="2"/>
  <c r="Y116" i="2"/>
  <c r="Z116" i="2"/>
  <c r="AA116" i="2"/>
  <c r="AB116" i="2"/>
  <c r="O117" i="2"/>
  <c r="P117" i="2"/>
  <c r="Q117" i="2"/>
  <c r="R117" i="2"/>
  <c r="S117" i="2"/>
  <c r="T117" i="2"/>
  <c r="U117" i="2"/>
  <c r="V117" i="2"/>
  <c r="W117" i="2"/>
  <c r="X117" i="2"/>
  <c r="Y117" i="2"/>
  <c r="Z117" i="2"/>
  <c r="AA117" i="2"/>
  <c r="AB117" i="2"/>
  <c r="O118" i="2"/>
  <c r="P118" i="2"/>
  <c r="Q118" i="2"/>
  <c r="R118" i="2"/>
  <c r="S118" i="2"/>
  <c r="T118" i="2"/>
  <c r="U118" i="2"/>
  <c r="V118" i="2"/>
  <c r="W118" i="2"/>
  <c r="X118" i="2"/>
  <c r="Y118" i="2"/>
  <c r="Z118" i="2"/>
  <c r="AA118" i="2"/>
  <c r="AB118" i="2"/>
  <c r="O119" i="2"/>
  <c r="P119" i="2"/>
  <c r="Q119" i="2"/>
  <c r="R119" i="2"/>
  <c r="S119" i="2"/>
  <c r="T119" i="2"/>
  <c r="U119" i="2"/>
  <c r="V119" i="2"/>
  <c r="W119" i="2"/>
  <c r="X119" i="2"/>
  <c r="Y119" i="2"/>
  <c r="Z119" i="2"/>
  <c r="AA119" i="2"/>
  <c r="AB119" i="2"/>
  <c r="O120" i="2"/>
  <c r="P120" i="2"/>
  <c r="Q120" i="2"/>
  <c r="R120" i="2"/>
  <c r="S120" i="2"/>
  <c r="T120" i="2"/>
  <c r="U120" i="2"/>
  <c r="V120" i="2"/>
  <c r="W120" i="2"/>
  <c r="X120" i="2"/>
  <c r="Y120" i="2"/>
  <c r="Z120" i="2"/>
  <c r="AA120" i="2"/>
  <c r="AB120" i="2"/>
  <c r="O121" i="2"/>
  <c r="P121" i="2"/>
  <c r="Q121" i="2"/>
  <c r="R121" i="2"/>
  <c r="S121" i="2"/>
  <c r="T121" i="2"/>
  <c r="U121" i="2"/>
  <c r="V121" i="2"/>
  <c r="W121" i="2"/>
  <c r="X121" i="2"/>
  <c r="Y121" i="2"/>
  <c r="Z121" i="2"/>
  <c r="AA121" i="2"/>
  <c r="AB121" i="2"/>
  <c r="O122" i="2"/>
  <c r="P122" i="2"/>
  <c r="Q122" i="2"/>
  <c r="R122" i="2"/>
  <c r="S122" i="2"/>
  <c r="T122" i="2"/>
  <c r="U122" i="2"/>
  <c r="V122" i="2"/>
  <c r="W122" i="2"/>
  <c r="X122" i="2"/>
  <c r="Y122" i="2"/>
  <c r="Z122" i="2"/>
  <c r="AA122" i="2"/>
  <c r="AB122" i="2"/>
  <c r="O123" i="2"/>
  <c r="P123" i="2"/>
  <c r="Q123" i="2"/>
  <c r="R123" i="2"/>
  <c r="S123" i="2"/>
  <c r="T123" i="2"/>
  <c r="U123" i="2"/>
  <c r="V123" i="2"/>
  <c r="W123" i="2"/>
  <c r="X123" i="2"/>
  <c r="Y123" i="2"/>
  <c r="Z123" i="2"/>
  <c r="AA123" i="2"/>
  <c r="AB123" i="2"/>
  <c r="O124" i="2"/>
  <c r="P124" i="2"/>
  <c r="Q124" i="2"/>
  <c r="R124" i="2"/>
  <c r="S124" i="2"/>
  <c r="T124" i="2"/>
  <c r="U124" i="2"/>
  <c r="V124" i="2"/>
  <c r="W124" i="2"/>
  <c r="X124" i="2"/>
  <c r="Y124" i="2"/>
  <c r="Z124" i="2"/>
  <c r="AA124" i="2"/>
  <c r="AB124" i="2"/>
  <c r="O125" i="2"/>
  <c r="P125" i="2"/>
  <c r="Q125" i="2"/>
  <c r="R125" i="2"/>
  <c r="S125" i="2"/>
  <c r="T125" i="2"/>
  <c r="U125" i="2"/>
  <c r="V125" i="2"/>
  <c r="W125" i="2"/>
  <c r="X125" i="2"/>
  <c r="Y125" i="2"/>
  <c r="Z125" i="2"/>
  <c r="AA125" i="2"/>
  <c r="AB125" i="2"/>
  <c r="O126" i="2"/>
  <c r="P126" i="2"/>
  <c r="Q126" i="2"/>
  <c r="R126" i="2"/>
  <c r="S126" i="2"/>
  <c r="T126" i="2"/>
  <c r="U126" i="2"/>
  <c r="V126" i="2"/>
  <c r="W126" i="2"/>
  <c r="X126" i="2"/>
  <c r="Y126" i="2"/>
  <c r="Z126" i="2"/>
  <c r="AA126" i="2"/>
  <c r="AB126" i="2"/>
  <c r="O127" i="2"/>
  <c r="P127" i="2"/>
  <c r="Q127" i="2"/>
  <c r="R127" i="2"/>
  <c r="S127" i="2"/>
  <c r="T127" i="2"/>
  <c r="U127" i="2"/>
  <c r="V127" i="2"/>
  <c r="W127" i="2"/>
  <c r="X127" i="2"/>
  <c r="Y127" i="2"/>
  <c r="Z127" i="2"/>
  <c r="AA127" i="2"/>
  <c r="AB127" i="2"/>
  <c r="O128" i="2"/>
  <c r="P128" i="2"/>
  <c r="Q128" i="2"/>
  <c r="R128" i="2"/>
  <c r="S128" i="2"/>
  <c r="T128" i="2"/>
  <c r="U128" i="2"/>
  <c r="V128" i="2"/>
  <c r="W128" i="2"/>
  <c r="X128" i="2"/>
  <c r="Y128" i="2"/>
  <c r="Z128" i="2"/>
  <c r="AA128" i="2"/>
  <c r="AB128" i="2"/>
  <c r="O129" i="2"/>
  <c r="P129" i="2"/>
  <c r="Q129" i="2"/>
  <c r="R129" i="2"/>
  <c r="S129" i="2"/>
  <c r="T129" i="2"/>
  <c r="U129" i="2"/>
  <c r="V129" i="2"/>
  <c r="W129" i="2"/>
  <c r="X129" i="2"/>
  <c r="Y129" i="2"/>
  <c r="Z129" i="2"/>
  <c r="AA129" i="2"/>
  <c r="AB129" i="2"/>
  <c r="O130" i="2"/>
  <c r="P130" i="2"/>
  <c r="Q130" i="2"/>
  <c r="R130" i="2"/>
  <c r="S130" i="2"/>
  <c r="T130" i="2"/>
  <c r="U130" i="2"/>
  <c r="V130" i="2"/>
  <c r="W130" i="2"/>
  <c r="X130" i="2"/>
  <c r="Y130" i="2"/>
  <c r="Z130" i="2"/>
  <c r="AA130" i="2"/>
  <c r="AB130" i="2"/>
  <c r="O131" i="2"/>
  <c r="P131" i="2"/>
  <c r="Q131" i="2"/>
  <c r="R131" i="2"/>
  <c r="S131" i="2"/>
  <c r="T131" i="2"/>
  <c r="U131" i="2"/>
  <c r="V131" i="2"/>
  <c r="W131" i="2"/>
  <c r="X131" i="2"/>
  <c r="Y131" i="2"/>
  <c r="Z131" i="2"/>
  <c r="AA131" i="2"/>
  <c r="AB131" i="2"/>
  <c r="O132" i="2"/>
  <c r="P132" i="2"/>
  <c r="Q132" i="2"/>
  <c r="R132" i="2"/>
  <c r="S132" i="2"/>
  <c r="T132" i="2"/>
  <c r="U132" i="2"/>
  <c r="V132" i="2"/>
  <c r="W132" i="2"/>
  <c r="X132" i="2"/>
  <c r="Y132" i="2"/>
  <c r="Z132" i="2"/>
  <c r="AA132" i="2"/>
  <c r="AB132" i="2"/>
  <c r="O133" i="2"/>
  <c r="P133" i="2"/>
  <c r="Q133" i="2"/>
  <c r="R133" i="2"/>
  <c r="S133" i="2"/>
  <c r="T133" i="2"/>
  <c r="U133" i="2"/>
  <c r="V133" i="2"/>
  <c r="W133" i="2"/>
  <c r="X133" i="2"/>
  <c r="Y133" i="2"/>
  <c r="Z133" i="2"/>
  <c r="AA133" i="2"/>
  <c r="AB133" i="2"/>
  <c r="O134" i="2"/>
  <c r="P134" i="2"/>
  <c r="Q134" i="2"/>
  <c r="R134" i="2"/>
  <c r="S134" i="2"/>
  <c r="T134" i="2"/>
  <c r="U134" i="2"/>
  <c r="V134" i="2"/>
  <c r="W134" i="2"/>
  <c r="X134" i="2"/>
  <c r="Y134" i="2"/>
  <c r="Z134" i="2"/>
  <c r="AA134" i="2"/>
  <c r="AB134" i="2"/>
  <c r="O135" i="2"/>
  <c r="P135" i="2"/>
  <c r="Q135" i="2"/>
  <c r="R135" i="2"/>
  <c r="S135" i="2"/>
  <c r="T135" i="2"/>
  <c r="U135" i="2"/>
  <c r="V135" i="2"/>
  <c r="W135" i="2"/>
  <c r="X135" i="2"/>
  <c r="Y135" i="2"/>
  <c r="Z135" i="2"/>
  <c r="AA135" i="2"/>
  <c r="AB135" i="2"/>
  <c r="O136" i="2"/>
  <c r="P136" i="2"/>
  <c r="Q136" i="2"/>
  <c r="R136" i="2"/>
  <c r="S136" i="2"/>
  <c r="T136" i="2"/>
  <c r="U136" i="2"/>
  <c r="V136" i="2"/>
  <c r="W136" i="2"/>
  <c r="X136" i="2"/>
  <c r="Y136" i="2"/>
  <c r="Z136" i="2"/>
  <c r="AA136" i="2"/>
  <c r="AB136" i="2"/>
  <c r="O137" i="2"/>
  <c r="P137" i="2"/>
  <c r="Q137" i="2"/>
  <c r="R137" i="2"/>
  <c r="S137" i="2"/>
  <c r="T137" i="2"/>
  <c r="U137" i="2"/>
  <c r="V137" i="2"/>
  <c r="W137" i="2"/>
  <c r="X137" i="2"/>
  <c r="Y137" i="2"/>
  <c r="Z137" i="2"/>
  <c r="AA137" i="2"/>
  <c r="AB137" i="2"/>
  <c r="O138" i="2"/>
  <c r="P138" i="2"/>
  <c r="Q138" i="2"/>
  <c r="R138" i="2"/>
  <c r="S138" i="2"/>
  <c r="T138" i="2"/>
  <c r="U138" i="2"/>
  <c r="V138" i="2"/>
  <c r="W138" i="2"/>
  <c r="X138" i="2"/>
  <c r="Y138" i="2"/>
  <c r="Z138" i="2"/>
  <c r="AA138" i="2"/>
  <c r="AB138" i="2"/>
  <c r="O139" i="2"/>
  <c r="P139" i="2"/>
  <c r="Q139" i="2"/>
  <c r="R139" i="2"/>
  <c r="S139" i="2"/>
  <c r="T139" i="2"/>
  <c r="U139" i="2"/>
  <c r="V139" i="2"/>
  <c r="W139" i="2"/>
  <c r="X139" i="2"/>
  <c r="Y139" i="2"/>
  <c r="Z139" i="2"/>
  <c r="AA139" i="2"/>
  <c r="AB139" i="2"/>
  <c r="O140" i="2"/>
  <c r="P140" i="2"/>
  <c r="Q140" i="2"/>
  <c r="R140" i="2"/>
  <c r="S140" i="2"/>
  <c r="T140" i="2"/>
  <c r="U140" i="2"/>
  <c r="V140" i="2"/>
  <c r="W140" i="2"/>
  <c r="X140" i="2"/>
  <c r="Y140" i="2"/>
  <c r="Z140" i="2"/>
  <c r="AA140" i="2"/>
  <c r="AB140" i="2"/>
  <c r="O141" i="2"/>
  <c r="P141" i="2"/>
  <c r="Q141" i="2"/>
  <c r="R141" i="2"/>
  <c r="S141" i="2"/>
  <c r="T141" i="2"/>
  <c r="U141" i="2"/>
  <c r="V141" i="2"/>
  <c r="W141" i="2"/>
  <c r="X141" i="2"/>
  <c r="Y141" i="2"/>
  <c r="Z141" i="2"/>
  <c r="AA141" i="2"/>
  <c r="AB141" i="2"/>
  <c r="O142" i="2"/>
  <c r="P142" i="2"/>
  <c r="Q142" i="2"/>
  <c r="R142" i="2"/>
  <c r="S142" i="2"/>
  <c r="T142" i="2"/>
  <c r="U142" i="2"/>
  <c r="V142" i="2"/>
  <c r="W142" i="2"/>
  <c r="X142" i="2"/>
  <c r="Y142" i="2"/>
  <c r="Z142" i="2"/>
  <c r="AA142" i="2"/>
  <c r="AB142" i="2"/>
  <c r="O143" i="2"/>
  <c r="P143" i="2"/>
  <c r="Q143" i="2"/>
  <c r="R143" i="2"/>
  <c r="S143" i="2"/>
  <c r="T143" i="2"/>
  <c r="U143" i="2"/>
  <c r="V143" i="2"/>
  <c r="W143" i="2"/>
  <c r="X143" i="2"/>
  <c r="Y143" i="2"/>
  <c r="Z143" i="2"/>
  <c r="AA143" i="2"/>
  <c r="AB143" i="2"/>
  <c r="O144" i="2"/>
  <c r="P144" i="2"/>
  <c r="Q144" i="2"/>
  <c r="R144" i="2"/>
  <c r="S144" i="2"/>
  <c r="T144" i="2"/>
  <c r="U144" i="2"/>
  <c r="V144" i="2"/>
  <c r="W144" i="2"/>
  <c r="X144" i="2"/>
  <c r="Y144" i="2"/>
  <c r="Z144" i="2"/>
  <c r="AA144" i="2"/>
  <c r="AB144" i="2"/>
  <c r="O145" i="2"/>
  <c r="P145" i="2"/>
  <c r="Q145" i="2"/>
  <c r="R145" i="2"/>
  <c r="S145" i="2"/>
  <c r="T145" i="2"/>
  <c r="U145" i="2"/>
  <c r="V145" i="2"/>
  <c r="W145" i="2"/>
  <c r="X145" i="2"/>
  <c r="Y145" i="2"/>
  <c r="Z145" i="2"/>
  <c r="AA145" i="2"/>
  <c r="AB145" i="2"/>
  <c r="O146" i="2"/>
  <c r="P146" i="2"/>
  <c r="Q146" i="2"/>
  <c r="R146" i="2"/>
  <c r="S146" i="2"/>
  <c r="T146" i="2"/>
  <c r="U146" i="2"/>
  <c r="V146" i="2"/>
  <c r="W146" i="2"/>
  <c r="X146" i="2"/>
  <c r="Y146" i="2"/>
  <c r="Z146" i="2"/>
  <c r="AA146" i="2"/>
  <c r="AB146" i="2"/>
  <c r="O147" i="2"/>
  <c r="P147" i="2"/>
  <c r="Q147" i="2"/>
  <c r="R147" i="2"/>
  <c r="S147" i="2"/>
  <c r="T147" i="2"/>
  <c r="U147" i="2"/>
  <c r="V147" i="2"/>
  <c r="W147" i="2"/>
  <c r="X147" i="2"/>
  <c r="Y147" i="2"/>
  <c r="Z147" i="2"/>
  <c r="AA147" i="2"/>
  <c r="AB147" i="2"/>
  <c r="O148" i="2"/>
  <c r="P148" i="2"/>
  <c r="Q148" i="2"/>
  <c r="R148" i="2"/>
  <c r="S148" i="2"/>
  <c r="T148" i="2"/>
  <c r="U148" i="2"/>
  <c r="V148" i="2"/>
  <c r="W148" i="2"/>
  <c r="X148" i="2"/>
  <c r="Y148" i="2"/>
  <c r="Z148" i="2"/>
  <c r="AA148" i="2"/>
  <c r="AB148" i="2"/>
  <c r="O149" i="2"/>
  <c r="P149" i="2"/>
  <c r="Q149" i="2"/>
  <c r="R149" i="2"/>
  <c r="S149" i="2"/>
  <c r="T149" i="2"/>
  <c r="U149" i="2"/>
  <c r="V149" i="2"/>
  <c r="W149" i="2"/>
  <c r="X149" i="2"/>
  <c r="Y149" i="2"/>
  <c r="Z149" i="2"/>
  <c r="AA149" i="2"/>
  <c r="AB149" i="2"/>
  <c r="O150" i="2"/>
  <c r="P150" i="2"/>
  <c r="Q150" i="2"/>
  <c r="R150" i="2"/>
  <c r="S150" i="2"/>
  <c r="T150" i="2"/>
  <c r="U150" i="2"/>
  <c r="V150" i="2"/>
  <c r="W150" i="2"/>
  <c r="X150" i="2"/>
  <c r="Y150" i="2"/>
  <c r="Z150" i="2"/>
  <c r="AA150" i="2"/>
  <c r="AB150" i="2"/>
  <c r="O151" i="2"/>
  <c r="P151" i="2"/>
  <c r="Q151" i="2"/>
  <c r="R151" i="2"/>
  <c r="S151" i="2"/>
  <c r="T151" i="2"/>
  <c r="U151" i="2"/>
  <c r="V151" i="2"/>
  <c r="W151" i="2"/>
  <c r="X151" i="2"/>
  <c r="Y151" i="2"/>
  <c r="Z151" i="2"/>
  <c r="AA151" i="2"/>
  <c r="AB151" i="2"/>
  <c r="O152" i="2"/>
  <c r="P152" i="2"/>
  <c r="Q152" i="2"/>
  <c r="R152" i="2"/>
  <c r="S152" i="2"/>
  <c r="T152" i="2"/>
  <c r="U152" i="2"/>
  <c r="V152" i="2"/>
  <c r="W152" i="2"/>
  <c r="X152" i="2"/>
  <c r="Y152" i="2"/>
  <c r="Z152" i="2"/>
  <c r="AA152" i="2"/>
  <c r="AB152" i="2"/>
  <c r="O153" i="2"/>
  <c r="P153" i="2"/>
  <c r="Q153" i="2"/>
  <c r="R153" i="2"/>
  <c r="S153" i="2"/>
  <c r="T153" i="2"/>
  <c r="U153" i="2"/>
  <c r="V153" i="2"/>
  <c r="W153" i="2"/>
  <c r="X153" i="2"/>
  <c r="Y153" i="2"/>
  <c r="Z153" i="2"/>
  <c r="AA153" i="2"/>
  <c r="AB153" i="2"/>
  <c r="O154" i="2"/>
  <c r="P154" i="2"/>
  <c r="Q154" i="2"/>
  <c r="R154" i="2"/>
  <c r="S154" i="2"/>
  <c r="T154" i="2"/>
  <c r="U154" i="2"/>
  <c r="V154" i="2"/>
  <c r="W154" i="2"/>
  <c r="X154" i="2"/>
  <c r="Y154" i="2"/>
  <c r="Z154" i="2"/>
  <c r="AA154" i="2"/>
  <c r="AB154" i="2"/>
  <c r="O155" i="2"/>
  <c r="P155" i="2"/>
  <c r="Q155" i="2"/>
  <c r="R155" i="2"/>
  <c r="S155" i="2"/>
  <c r="T155" i="2"/>
  <c r="U155" i="2"/>
  <c r="V155" i="2"/>
  <c r="W155" i="2"/>
  <c r="X155" i="2"/>
  <c r="Y155" i="2"/>
  <c r="Z155" i="2"/>
  <c r="AA155" i="2"/>
  <c r="AB155" i="2"/>
  <c r="O156" i="2"/>
  <c r="P156" i="2"/>
  <c r="Q156" i="2"/>
  <c r="R156" i="2"/>
  <c r="S156" i="2"/>
  <c r="T156" i="2"/>
  <c r="U156" i="2"/>
  <c r="V156" i="2"/>
  <c r="W156" i="2"/>
  <c r="X156" i="2"/>
  <c r="Y156" i="2"/>
  <c r="Z156" i="2"/>
  <c r="AA156" i="2"/>
  <c r="AB156" i="2"/>
  <c r="O157" i="2"/>
  <c r="P157" i="2"/>
  <c r="Q157" i="2"/>
  <c r="R157" i="2"/>
  <c r="S157" i="2"/>
  <c r="T157" i="2"/>
  <c r="U157" i="2"/>
  <c r="V157" i="2"/>
  <c r="W157" i="2"/>
  <c r="X157" i="2"/>
  <c r="Y157" i="2"/>
  <c r="Z157" i="2"/>
  <c r="AA157" i="2"/>
  <c r="AB157" i="2"/>
  <c r="O158" i="2"/>
  <c r="P158" i="2"/>
  <c r="Q158" i="2"/>
  <c r="R158" i="2"/>
  <c r="S158" i="2"/>
  <c r="T158" i="2"/>
  <c r="U158" i="2"/>
  <c r="V158" i="2"/>
  <c r="W158" i="2"/>
  <c r="X158" i="2"/>
  <c r="Y158" i="2"/>
  <c r="Z158" i="2"/>
  <c r="AA158" i="2"/>
  <c r="AB158" i="2"/>
  <c r="O159" i="2"/>
  <c r="P159" i="2"/>
  <c r="Q159" i="2"/>
  <c r="R159" i="2"/>
  <c r="S159" i="2"/>
  <c r="T159" i="2"/>
  <c r="U159" i="2"/>
  <c r="V159" i="2"/>
  <c r="W159" i="2"/>
  <c r="X159" i="2"/>
  <c r="Y159" i="2"/>
  <c r="Z159" i="2"/>
  <c r="AA159" i="2"/>
  <c r="AB159" i="2"/>
  <c r="O160" i="2"/>
  <c r="P160" i="2"/>
  <c r="Q160" i="2"/>
  <c r="R160" i="2"/>
  <c r="S160" i="2"/>
  <c r="T160" i="2"/>
  <c r="U160" i="2"/>
  <c r="V160" i="2"/>
  <c r="W160" i="2"/>
  <c r="X160" i="2"/>
  <c r="Y160" i="2"/>
  <c r="Z160" i="2"/>
  <c r="AA160" i="2"/>
  <c r="AB160" i="2"/>
  <c r="O161" i="2"/>
  <c r="P161" i="2"/>
  <c r="Q161" i="2"/>
  <c r="R161" i="2"/>
  <c r="S161" i="2"/>
  <c r="T161" i="2"/>
  <c r="U161" i="2"/>
  <c r="V161" i="2"/>
  <c r="W161" i="2"/>
  <c r="X161" i="2"/>
  <c r="Y161" i="2"/>
  <c r="Z161" i="2"/>
  <c r="AA161" i="2"/>
  <c r="AB161" i="2"/>
  <c r="O162" i="2"/>
  <c r="P162" i="2"/>
  <c r="Q162" i="2"/>
  <c r="R162" i="2"/>
  <c r="S162" i="2"/>
  <c r="T162" i="2"/>
  <c r="U162" i="2"/>
  <c r="V162" i="2"/>
  <c r="W162" i="2"/>
  <c r="X162" i="2"/>
  <c r="Y162" i="2"/>
  <c r="Z162" i="2"/>
  <c r="AA162" i="2"/>
  <c r="AB162" i="2"/>
  <c r="O163" i="2"/>
  <c r="P163" i="2"/>
  <c r="Q163" i="2"/>
  <c r="R163" i="2"/>
  <c r="S163" i="2"/>
  <c r="T163" i="2"/>
  <c r="U163" i="2"/>
  <c r="V163" i="2"/>
  <c r="W163" i="2"/>
  <c r="X163" i="2"/>
  <c r="Y163" i="2"/>
  <c r="Z163" i="2"/>
  <c r="AA163" i="2"/>
  <c r="AB163" i="2"/>
  <c r="O164" i="2"/>
  <c r="P164" i="2"/>
  <c r="Q164" i="2"/>
  <c r="R164" i="2"/>
  <c r="S164" i="2"/>
  <c r="T164" i="2"/>
  <c r="U164" i="2"/>
  <c r="V164" i="2"/>
  <c r="W164" i="2"/>
  <c r="X164" i="2"/>
  <c r="Y164" i="2"/>
  <c r="Z164" i="2"/>
  <c r="AA164" i="2"/>
  <c r="AB164" i="2"/>
  <c r="O165" i="2"/>
  <c r="P165" i="2"/>
  <c r="Q165" i="2"/>
  <c r="R165" i="2"/>
  <c r="S165" i="2"/>
  <c r="T165" i="2"/>
  <c r="U165" i="2"/>
  <c r="V165" i="2"/>
  <c r="W165" i="2"/>
  <c r="X165" i="2"/>
  <c r="Y165" i="2"/>
  <c r="Z165" i="2"/>
  <c r="AA165" i="2"/>
  <c r="AB165" i="2"/>
  <c r="O166" i="2"/>
  <c r="P166" i="2"/>
  <c r="Q166" i="2"/>
  <c r="R166" i="2"/>
  <c r="S166" i="2"/>
  <c r="T166" i="2"/>
  <c r="U166" i="2"/>
  <c r="V166" i="2"/>
  <c r="W166" i="2"/>
  <c r="X166" i="2"/>
  <c r="Y166" i="2"/>
  <c r="Z166" i="2"/>
  <c r="AA166" i="2"/>
  <c r="AB166" i="2"/>
  <c r="O167" i="2"/>
  <c r="P167" i="2"/>
  <c r="Q167" i="2"/>
  <c r="R167" i="2"/>
  <c r="S167" i="2"/>
  <c r="T167" i="2"/>
  <c r="U167" i="2"/>
  <c r="V167" i="2"/>
  <c r="W167" i="2"/>
  <c r="X167" i="2"/>
  <c r="Y167" i="2"/>
  <c r="Z167" i="2"/>
  <c r="AA167" i="2"/>
  <c r="AB167" i="2"/>
  <c r="O168" i="2"/>
  <c r="P168" i="2"/>
  <c r="Q168" i="2"/>
  <c r="R168" i="2"/>
  <c r="S168" i="2"/>
  <c r="T168" i="2"/>
  <c r="U168" i="2"/>
  <c r="V168" i="2"/>
  <c r="W168" i="2"/>
  <c r="X168" i="2"/>
  <c r="Y168" i="2"/>
  <c r="Z168" i="2"/>
  <c r="AA168" i="2"/>
  <c r="AB168" i="2"/>
  <c r="O169" i="2"/>
  <c r="P169" i="2"/>
  <c r="Q169" i="2"/>
  <c r="R169" i="2"/>
  <c r="S169" i="2"/>
  <c r="T169" i="2"/>
  <c r="U169" i="2"/>
  <c r="V169" i="2"/>
  <c r="W169" i="2"/>
  <c r="X169" i="2"/>
  <c r="Y169" i="2"/>
  <c r="Z169" i="2"/>
  <c r="AA169" i="2"/>
  <c r="AB169" i="2"/>
  <c r="O170" i="2"/>
  <c r="P170" i="2"/>
  <c r="Q170" i="2"/>
  <c r="R170" i="2"/>
  <c r="S170" i="2"/>
  <c r="T170" i="2"/>
  <c r="U170" i="2"/>
  <c r="V170" i="2"/>
  <c r="W170" i="2"/>
  <c r="X170" i="2"/>
  <c r="Y170" i="2"/>
  <c r="Z170" i="2"/>
  <c r="AA170" i="2"/>
  <c r="AB170" i="2"/>
  <c r="O171" i="2"/>
  <c r="P171" i="2"/>
  <c r="Q171" i="2"/>
  <c r="R171" i="2"/>
  <c r="S171" i="2"/>
  <c r="T171" i="2"/>
  <c r="U171" i="2"/>
  <c r="V171" i="2"/>
  <c r="W171" i="2"/>
  <c r="X171" i="2"/>
  <c r="Y171" i="2"/>
  <c r="Z171" i="2"/>
  <c r="AA171" i="2"/>
  <c r="AB171" i="2"/>
  <c r="O172" i="2"/>
  <c r="P172" i="2"/>
  <c r="Q172" i="2"/>
  <c r="R172" i="2"/>
  <c r="S172" i="2"/>
  <c r="T172" i="2"/>
  <c r="U172" i="2"/>
  <c r="V172" i="2"/>
  <c r="W172" i="2"/>
  <c r="X172" i="2"/>
  <c r="Y172" i="2"/>
  <c r="Z172" i="2"/>
  <c r="AA172" i="2"/>
  <c r="AB172" i="2"/>
  <c r="O173" i="2"/>
  <c r="P173" i="2"/>
  <c r="Q173" i="2"/>
  <c r="R173" i="2"/>
  <c r="S173" i="2"/>
  <c r="T173" i="2"/>
  <c r="U173" i="2"/>
  <c r="V173" i="2"/>
  <c r="W173" i="2"/>
  <c r="X173" i="2"/>
  <c r="Y173" i="2"/>
  <c r="Z173" i="2"/>
  <c r="AA173" i="2"/>
  <c r="AB173" i="2"/>
  <c r="O174" i="2"/>
  <c r="P174" i="2"/>
  <c r="Q174" i="2"/>
  <c r="R174" i="2"/>
  <c r="S174" i="2"/>
  <c r="T174" i="2"/>
  <c r="U174" i="2"/>
  <c r="V174" i="2"/>
  <c r="W174" i="2"/>
  <c r="X174" i="2"/>
  <c r="Y174" i="2"/>
  <c r="Z174" i="2"/>
  <c r="AA174" i="2"/>
  <c r="AB174" i="2"/>
  <c r="O175" i="2"/>
  <c r="P175" i="2"/>
  <c r="Q175" i="2"/>
  <c r="R175" i="2"/>
  <c r="S175" i="2"/>
  <c r="T175" i="2"/>
  <c r="U175" i="2"/>
  <c r="V175" i="2"/>
  <c r="W175" i="2"/>
  <c r="X175" i="2"/>
  <c r="Y175" i="2"/>
  <c r="Z175" i="2"/>
  <c r="AA175" i="2"/>
  <c r="AB175" i="2"/>
  <c r="O176" i="2"/>
  <c r="P176" i="2"/>
  <c r="Q176" i="2"/>
  <c r="R176" i="2"/>
  <c r="S176" i="2"/>
  <c r="T176" i="2"/>
  <c r="U176" i="2"/>
  <c r="V176" i="2"/>
  <c r="W176" i="2"/>
  <c r="X176" i="2"/>
  <c r="Y176" i="2"/>
  <c r="Z176" i="2"/>
  <c r="AA176" i="2"/>
  <c r="AB176" i="2"/>
  <c r="P12" i="2"/>
  <c r="Q12" i="2"/>
  <c r="R12" i="2"/>
  <c r="S12" i="2"/>
  <c r="T12" i="2"/>
  <c r="U12" i="2"/>
  <c r="I16" i="2" s="1"/>
  <c r="V12" i="2"/>
  <c r="W12" i="2"/>
  <c r="J16" i="2" s="1"/>
  <c r="X12" i="2"/>
  <c r="Y12" i="2"/>
  <c r="Z12" i="2"/>
  <c r="AA12" i="2"/>
  <c r="AB12" i="2"/>
  <c r="H16" i="2"/>
  <c r="N12" i="2"/>
  <c r="O12" i="2"/>
  <c r="E16" i="2" s="1"/>
  <c r="G43" i="2" l="1"/>
  <c r="B40" i="2"/>
  <c r="H67" i="2"/>
  <c r="G70" i="2"/>
  <c r="I67" i="2"/>
  <c r="H70" i="2"/>
  <c r="H13" i="2"/>
  <c r="C67" i="2"/>
  <c r="K67" i="2" s="1"/>
  <c r="L67" i="2" s="1"/>
  <c r="B70" i="2"/>
  <c r="F40" i="2"/>
  <c r="D67" i="2"/>
  <c r="C70" i="2"/>
  <c r="C43" i="2"/>
  <c r="E67" i="2"/>
  <c r="D70" i="2"/>
  <c r="K70" i="2" s="1"/>
  <c r="L70" i="2" s="1"/>
  <c r="K76" i="2"/>
  <c r="L76" i="2" s="1"/>
  <c r="K73" i="2"/>
  <c r="L73" i="2" s="1"/>
  <c r="K79" i="2"/>
  <c r="L79" i="2" s="1"/>
  <c r="K52" i="2"/>
  <c r="L52" i="2" s="1"/>
  <c r="K46" i="2"/>
  <c r="L46" i="2" s="1"/>
  <c r="K22" i="2"/>
  <c r="L22" i="2" s="1"/>
  <c r="K19" i="2"/>
  <c r="L19" i="2" s="1"/>
  <c r="C16" i="2"/>
  <c r="E13" i="2"/>
  <c r="G13" i="2"/>
  <c r="B16" i="2"/>
  <c r="F16" i="2"/>
  <c r="E40" i="2"/>
  <c r="B43" i="2"/>
  <c r="G16" i="2"/>
  <c r="K49" i="2"/>
  <c r="L49" i="2" s="1"/>
  <c r="C13" i="2"/>
  <c r="I13" i="2"/>
  <c r="G40" i="2"/>
  <c r="D43" i="2"/>
  <c r="H40" i="2"/>
  <c r="E43" i="2"/>
  <c r="D13" i="2"/>
  <c r="B13" i="2"/>
  <c r="C40" i="2"/>
  <c r="I40" i="2"/>
  <c r="F43" i="2"/>
  <c r="J13" i="2"/>
  <c r="D16" i="2"/>
  <c r="F13" i="2"/>
  <c r="D40" i="2"/>
  <c r="J40" i="2"/>
  <c r="K25" i="2"/>
  <c r="L25" i="2" s="1"/>
  <c r="K13" i="2" l="1"/>
  <c r="L13" i="2" s="1"/>
  <c r="K16" i="2"/>
  <c r="L16" i="2" s="1"/>
  <c r="K43" i="2"/>
  <c r="L43" i="2" s="1"/>
  <c r="K40" i="2"/>
  <c r="L40" i="2" s="1"/>
</calcChain>
</file>

<file path=xl/sharedStrings.xml><?xml version="1.0" encoding="utf-8"?>
<sst xmlns="http://schemas.openxmlformats.org/spreadsheetml/2006/main" count="138" uniqueCount="33">
  <si>
    <t>break weight [kg]</t>
  </si>
  <si>
    <t>from top [cm]</t>
  </si>
  <si>
    <t>0 - 10</t>
  </si>
  <si>
    <t>21 - 30</t>
  </si>
  <si>
    <t>11 - 20</t>
  </si>
  <si>
    <t>31 - 40</t>
  </si>
  <si>
    <t>41 - 50</t>
  </si>
  <si>
    <t>Size of root [mm]</t>
  </si>
  <si>
    <t>Intersection 1</t>
  </si>
  <si>
    <t>Intersection 2</t>
  </si>
  <si>
    <t>Intersection 3</t>
  </si>
  <si>
    <t>Intersection 4</t>
  </si>
  <si>
    <t>Intersection 5</t>
  </si>
  <si>
    <t>root area</t>
  </si>
  <si>
    <t>sum</t>
  </si>
  <si>
    <t>RAR</t>
  </si>
  <si>
    <t>Beech</t>
  </si>
  <si>
    <t>Spruce</t>
  </si>
  <si>
    <t>Pine</t>
  </si>
  <si>
    <t>15</t>
  </si>
  <si>
    <t>RAR [%]</t>
  </si>
  <si>
    <t>depth [cm]</t>
  </si>
  <si>
    <t>Summe von RAR [%]</t>
  </si>
  <si>
    <t>Zeilenbeschriftungen</t>
  </si>
  <si>
    <t>Gesamtergebnis</t>
  </si>
  <si>
    <t>FFr [N]</t>
  </si>
  <si>
    <t>Tr [Mpa = N/mm²]</t>
  </si>
  <si>
    <t>y = -13,32ln(x) + 33,964</t>
  </si>
  <si>
    <t>y = -8,145ln(x) + 19,347</t>
  </si>
  <si>
    <t>y = 2,4369ln(x) + 6,2051</t>
  </si>
  <si>
    <t>total root tensile strength</t>
  </si>
  <si>
    <t>root cohesion</t>
  </si>
  <si>
    <t>diameter at break point [mm]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</si>
</sst>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0000"/>
    <numFmt numFmtId="165" formatCode="0.000000000"/>
  </numFmts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9" fontId="2" fillId="0" borderId="0" applyFont="0" applyFill="0" applyBorder="0" applyAlignment="0" applyProtection="0"/>
  </cellStyleXfs>
  <cellXfs count="14">
    <xf numFmtId="0" fontId="0" fillId="0" borderId="0" xfId="0"/>
    <xf numFmtId="0" fontId="1" fillId="0" borderId="0" xfId="0" applyFont="1"/>
    <xf numFmtId="0" fontId="1" fillId="2" borderId="0" xfId="0" applyFont="1" applyFill="1" applyAlignment="1">
      <alignment horizontal="center"/>
    </xf>
    <xf numFmtId="0" fontId="1" fillId="2" borderId="0" xfId="0" applyFont="1" applyFill="1"/>
    <xf numFmtId="0" fontId="0" fillId="3" borderId="0" xfId="0" applyFill="1"/>
    <xf numFmtId="2" fontId="1" fillId="2" borderId="0" xfId="0" applyNumberFormat="1" applyFont="1" applyFill="1"/>
    <xf numFmtId="49" fontId="1" fillId="2" borderId="0" xfId="0" applyNumberFormat="1" applyFont="1" applyFill="1"/>
    <xf numFmtId="165" fontId="0" fillId="0" borderId="0" xfId="0" applyNumberFormat="1"/>
    <xf numFmtId="0" fontId="1" fillId="2" borderId="0" xfId="0" applyFont="1" applyFill="1" applyAlignment="1">
      <alignment horizontal="right"/>
    </xf>
    <xf numFmtId="164" fontId="0" fillId="0" borderId="0" xfId="1" applyNumberFormat="1" applyFont="1"/>
    <xf numFmtId="0" fontId="0" fillId="0" borderId="0" xfId="0" pivotButton="1"/>
    <xf numFmtId="0" fontId="0" fillId="0" borderId="0" xfId="0" applyAlignment="1">
      <alignment horizontal="left"/>
    </xf>
    <xf numFmtId="2" fontId="0" fillId="0" borderId="0" xfId="0" applyNumberFormat="1"/>
    <xf numFmtId="0" fontId="1" fillId="2" borderId="0" xfId="0" applyFont="1" applyFill="1" applyAlignment="1">
      <alignment horizontal="center"/>
    </xf>
  </cellXfs>
  <cellStyles count="2">
    <cellStyle name="Prozent" xfId="1" builtinId="5"/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3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2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de-DE"/>
              <a:t>Root Tensile</a:t>
            </a:r>
            <a:r>
              <a:rPr lang="de-DE" baseline="0"/>
              <a:t> Stength of Beech</a:t>
            </a:r>
            <a:endParaRPr lang="de-DE"/>
          </a:p>
        </c:rich>
      </c:tx>
      <c:layout>
        <c:manualLayout>
          <c:xMode val="edge"/>
          <c:yMode val="edge"/>
          <c:x val="0.3063890933942543"/>
          <c:y val="3.623188405797101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de-DE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og"/>
            <c:dispRSqr val="1"/>
            <c:dispEq val="1"/>
            <c:trendlineLbl>
              <c:layout>
                <c:manualLayout>
                  <c:x val="0.15448367353682313"/>
                  <c:y val="-0.57463990008495314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de-DE"/>
                </a:p>
              </c:txPr>
            </c:trendlineLbl>
          </c:trendline>
          <c:xVal>
            <c:numRef>
              <c:f>Tensile_strength!$A$4:$A$19</c:f>
              <c:numCache>
                <c:formatCode>0.00</c:formatCode>
                <c:ptCount val="16"/>
                <c:pt idx="0">
                  <c:v>2</c:v>
                </c:pt>
                <c:pt idx="1">
                  <c:v>2</c:v>
                </c:pt>
                <c:pt idx="2">
                  <c:v>2</c:v>
                </c:pt>
                <c:pt idx="3">
                  <c:v>1</c:v>
                </c:pt>
                <c:pt idx="4">
                  <c:v>3</c:v>
                </c:pt>
                <c:pt idx="5">
                  <c:v>4</c:v>
                </c:pt>
                <c:pt idx="6">
                  <c:v>1</c:v>
                </c:pt>
                <c:pt idx="7">
                  <c:v>1</c:v>
                </c:pt>
                <c:pt idx="8">
                  <c:v>1</c:v>
                </c:pt>
                <c:pt idx="9">
                  <c:v>2</c:v>
                </c:pt>
                <c:pt idx="10">
                  <c:v>5</c:v>
                </c:pt>
                <c:pt idx="11">
                  <c:v>3</c:v>
                </c:pt>
                <c:pt idx="12">
                  <c:v>4</c:v>
                </c:pt>
                <c:pt idx="13">
                  <c:v>4</c:v>
                </c:pt>
                <c:pt idx="14">
                  <c:v>3</c:v>
                </c:pt>
                <c:pt idx="15">
                  <c:v>5</c:v>
                </c:pt>
              </c:numCache>
            </c:numRef>
          </c:xVal>
          <c:yVal>
            <c:numRef>
              <c:f>Tensile_strength!$D$4:$D$19</c:f>
              <c:numCache>
                <c:formatCode>General</c:formatCode>
                <c:ptCount val="16"/>
                <c:pt idx="0">
                  <c:v>5.3084539718870767</c:v>
                </c:pt>
                <c:pt idx="1">
                  <c:v>24.512566870184443</c:v>
                </c:pt>
                <c:pt idx="2">
                  <c:v>19.204112898297371</c:v>
                </c:pt>
                <c:pt idx="3">
                  <c:v>51.835491725485589</c:v>
                </c:pt>
                <c:pt idx="4">
                  <c:v>8.326986622567965</c:v>
                </c:pt>
                <c:pt idx="5">
                  <c:v>13.700495177443855</c:v>
                </c:pt>
                <c:pt idx="6">
                  <c:v>15.613099917314935</c:v>
                </c:pt>
                <c:pt idx="7">
                  <c:v>28.103579851166881</c:v>
                </c:pt>
                <c:pt idx="8">
                  <c:v>33.724295821400261</c:v>
                </c:pt>
                <c:pt idx="9">
                  <c:v>26.542269859435386</c:v>
                </c:pt>
                <c:pt idx="10">
                  <c:v>16.912109830435536</c:v>
                </c:pt>
                <c:pt idx="11">
                  <c:v>27.756622075226549</c:v>
                </c:pt>
                <c:pt idx="12">
                  <c:v>21.702208885067758</c:v>
                </c:pt>
                <c:pt idx="13">
                  <c:v>17.994097654705463</c:v>
                </c:pt>
                <c:pt idx="14">
                  <c:v>35.250910035537714</c:v>
                </c:pt>
                <c:pt idx="15">
                  <c:v>12.090784575968684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E5F1-4F5B-B560-D79C46B9A41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39712600"/>
        <c:axId val="239713584"/>
      </c:scatterChart>
      <c:valAx>
        <c:axId val="23971260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de-DE"/>
                  <a:t>Diameter at Breaking Point</a:t>
                </a:r>
                <a:r>
                  <a:rPr lang="de-DE" baseline="0"/>
                  <a:t> [mm]</a:t>
                </a:r>
                <a:endParaRPr lang="de-DE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de-DE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239713584"/>
        <c:crosses val="autoZero"/>
        <c:crossBetween val="midCat"/>
      </c:valAx>
      <c:valAx>
        <c:axId val="2397135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de-DE"/>
                  <a:t>Root</a:t>
                </a:r>
                <a:r>
                  <a:rPr lang="de-DE" baseline="0"/>
                  <a:t> Tensile Strength [MPa]</a:t>
                </a:r>
                <a:endParaRPr lang="de-DE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de-DE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23971260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de-DE"/>
    </a:p>
  </c:txPr>
  <c:printSettings>
    <c:headerFooter/>
    <c:pageMargins b="0.78740157499999996" l="0.7" r="0.7" t="0.78740157499999996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de-DE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Root Tensile Stength of Spruce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de-DE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og"/>
            <c:dispRSqr val="1"/>
            <c:dispEq val="1"/>
            <c:trendlineLbl>
              <c:layout>
                <c:manualLayout>
                  <c:x val="0.13626932109423878"/>
                  <c:y val="-0.60504012742620006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de-DE"/>
                </a:p>
              </c:txPr>
            </c:trendlineLbl>
          </c:trendline>
          <c:xVal>
            <c:numRef>
              <c:f>Tensile_strength!$A$25:$A$57</c:f>
              <c:numCache>
                <c:formatCode>0.00</c:formatCode>
                <c:ptCount val="33"/>
                <c:pt idx="0">
                  <c:v>1.5</c:v>
                </c:pt>
                <c:pt idx="1">
                  <c:v>2</c:v>
                </c:pt>
                <c:pt idx="2">
                  <c:v>2</c:v>
                </c:pt>
                <c:pt idx="3">
                  <c:v>3.5</c:v>
                </c:pt>
                <c:pt idx="4">
                  <c:v>2.5</c:v>
                </c:pt>
                <c:pt idx="5">
                  <c:v>4.5</c:v>
                </c:pt>
                <c:pt idx="6">
                  <c:v>5</c:v>
                </c:pt>
                <c:pt idx="7">
                  <c:v>5</c:v>
                </c:pt>
                <c:pt idx="8">
                  <c:v>4.5</c:v>
                </c:pt>
                <c:pt idx="9">
                  <c:v>5</c:v>
                </c:pt>
                <c:pt idx="10">
                  <c:v>4.5</c:v>
                </c:pt>
                <c:pt idx="11">
                  <c:v>4.5</c:v>
                </c:pt>
                <c:pt idx="12">
                  <c:v>6</c:v>
                </c:pt>
                <c:pt idx="13">
                  <c:v>5.5</c:v>
                </c:pt>
                <c:pt idx="14">
                  <c:v>4.5</c:v>
                </c:pt>
                <c:pt idx="15">
                  <c:v>3.5</c:v>
                </c:pt>
                <c:pt idx="16">
                  <c:v>2</c:v>
                </c:pt>
                <c:pt idx="17">
                  <c:v>3</c:v>
                </c:pt>
                <c:pt idx="18">
                  <c:v>1.5</c:v>
                </c:pt>
                <c:pt idx="19">
                  <c:v>2</c:v>
                </c:pt>
                <c:pt idx="20">
                  <c:v>2</c:v>
                </c:pt>
                <c:pt idx="21">
                  <c:v>1</c:v>
                </c:pt>
                <c:pt idx="22">
                  <c:v>1.5</c:v>
                </c:pt>
                <c:pt idx="23">
                  <c:v>1</c:v>
                </c:pt>
                <c:pt idx="24">
                  <c:v>1.5</c:v>
                </c:pt>
                <c:pt idx="25">
                  <c:v>2</c:v>
                </c:pt>
                <c:pt idx="26">
                  <c:v>1</c:v>
                </c:pt>
                <c:pt idx="27">
                  <c:v>1</c:v>
                </c:pt>
                <c:pt idx="28">
                  <c:v>1</c:v>
                </c:pt>
                <c:pt idx="29">
                  <c:v>1</c:v>
                </c:pt>
                <c:pt idx="30">
                  <c:v>1</c:v>
                </c:pt>
                <c:pt idx="31">
                  <c:v>1</c:v>
                </c:pt>
                <c:pt idx="32">
                  <c:v>1</c:v>
                </c:pt>
              </c:numCache>
            </c:numRef>
          </c:xVal>
          <c:yVal>
            <c:numRef>
              <c:f>Tensile_strength!$D$25:$D$57</c:f>
              <c:numCache>
                <c:formatCode>General</c:formatCode>
                <c:ptCount val="33"/>
                <c:pt idx="0">
                  <c:v>18.596936790401788</c:v>
                </c:pt>
                <c:pt idx="1">
                  <c:v>9.0555979520426622</c:v>
                </c:pt>
                <c:pt idx="2">
                  <c:v>10.773038942947306</c:v>
                </c:pt>
                <c:pt idx="3">
                  <c:v>13.612074050361104</c:v>
                </c:pt>
                <c:pt idx="4">
                  <c:v>12.190708415439499</c:v>
                </c:pt>
                <c:pt idx="5">
                  <c:v>14.063355184781452</c:v>
                </c:pt>
                <c:pt idx="6">
                  <c:v>15.313328398902485</c:v>
                </c:pt>
                <c:pt idx="7">
                  <c:v>8.9182026727702901</c:v>
                </c:pt>
                <c:pt idx="8">
                  <c:v>14.063355184781452</c:v>
                </c:pt>
                <c:pt idx="9">
                  <c:v>11.516222499011494</c:v>
                </c:pt>
                <c:pt idx="10">
                  <c:v>9.036322520045978</c:v>
                </c:pt>
                <c:pt idx="11">
                  <c:v>6.5073858420808914</c:v>
                </c:pt>
                <c:pt idx="12">
                  <c:v>4.9961919735407792</c:v>
                </c:pt>
                <c:pt idx="13">
                  <c:v>2.0851875592050355</c:v>
                </c:pt>
                <c:pt idx="14">
                  <c:v>5.8905720181869681</c:v>
                </c:pt>
                <c:pt idx="15">
                  <c:v>5.913859887048269</c:v>
                </c:pt>
                <c:pt idx="16">
                  <c:v>6.8697639636185723</c:v>
                </c:pt>
                <c:pt idx="17">
                  <c:v>2.3593128763942564</c:v>
                </c:pt>
                <c:pt idx="18">
                  <c:v>18.041804348897255</c:v>
                </c:pt>
                <c:pt idx="19">
                  <c:v>9.0555979520426622</c:v>
                </c:pt>
                <c:pt idx="20">
                  <c:v>1.7174409909046431</c:v>
                </c:pt>
                <c:pt idx="21">
                  <c:v>6.8697639636185723</c:v>
                </c:pt>
                <c:pt idx="22">
                  <c:v>13.323178596108743</c:v>
                </c:pt>
                <c:pt idx="23">
                  <c:v>12.490479933851947</c:v>
                </c:pt>
                <c:pt idx="24">
                  <c:v>6.6615892980543716</c:v>
                </c:pt>
                <c:pt idx="25">
                  <c:v>4.059405978501883</c:v>
                </c:pt>
                <c:pt idx="26">
                  <c:v>28.728103847859476</c:v>
                </c:pt>
                <c:pt idx="27">
                  <c:v>10.616907943774153</c:v>
                </c:pt>
                <c:pt idx="28">
                  <c:v>23.731911874318698</c:v>
                </c:pt>
                <c:pt idx="29">
                  <c:v>4.3716679768481814</c:v>
                </c:pt>
                <c:pt idx="30">
                  <c:v>11.241431940466752</c:v>
                </c:pt>
                <c:pt idx="31">
                  <c:v>15.613099917314935</c:v>
                </c:pt>
                <c:pt idx="32">
                  <c:v>17.486671907392726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6205-49C9-9378-43A5A05B7CE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35387008"/>
        <c:axId val="235387664"/>
      </c:scatterChart>
      <c:valAx>
        <c:axId val="23538700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 marL="0" marR="0" lvl="0" indent="0" algn="ctr" defTabSz="914400" rtl="0" eaLnBrk="1" fontAlgn="auto" latinLnBrk="0" hangingPunct="1">
                  <a:lnSpc>
                    <a:spcPct val="100000"/>
                  </a:lnSpc>
                  <a:spcBef>
                    <a:spcPts val="0"/>
                  </a:spcBef>
                  <a:spcAft>
                    <a:spcPts val="0"/>
                  </a:spcAft>
                  <a:buClrTx/>
                  <a:buSzTx/>
                  <a:buFontTx/>
                  <a:buNone/>
                  <a:tabLst/>
                  <a:defRPr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de-DE"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Diameter at Breaking Point [mm]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 marL="0" marR="0" lvl="0" indent="0" algn="ctr" defTabSz="914400" rtl="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 sz="1000" b="0" i="0" u="none" strike="noStrike" kern="1200" baseline="0">
                  <a:solidFill>
                    <a:sysClr val="windowText" lastClr="000000">
                      <a:lumMod val="65000"/>
                      <a:lumOff val="35000"/>
                    </a:sysClr>
                  </a:solidFill>
                  <a:latin typeface="+mn-lt"/>
                  <a:ea typeface="+mn-ea"/>
                  <a:cs typeface="+mn-cs"/>
                </a:defRPr>
              </a:pPr>
              <a:endParaRPr lang="de-DE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235387664"/>
        <c:crosses val="autoZero"/>
        <c:crossBetween val="midCat"/>
      </c:valAx>
      <c:valAx>
        <c:axId val="23538766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de-DE"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Root Tensile Strength [MPa]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de-DE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23538700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de-DE"/>
    </a:p>
  </c:txPr>
  <c:printSettings>
    <c:headerFooter/>
    <c:pageMargins b="0.78740157499999996" l="0.7" r="0.7" t="0.78740157499999996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de-DE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Root Tensile Stength of Pine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de-DE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og"/>
            <c:dispRSqr val="1"/>
            <c:dispEq val="1"/>
            <c:trendlineLbl>
              <c:layout>
                <c:manualLayout>
                  <c:x val="0.13462260030017248"/>
                  <c:y val="-0.46679085150566196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de-DE"/>
                </a:p>
              </c:txPr>
            </c:trendlineLbl>
          </c:trendline>
          <c:xVal>
            <c:numRef>
              <c:f>Tensile_strength!$A$63:$A$82</c:f>
              <c:numCache>
                <c:formatCode>0.00</c:formatCode>
                <c:ptCount val="20"/>
                <c:pt idx="0">
                  <c:v>2</c:v>
                </c:pt>
                <c:pt idx="1">
                  <c:v>2</c:v>
                </c:pt>
                <c:pt idx="2">
                  <c:v>2</c:v>
                </c:pt>
                <c:pt idx="3">
                  <c:v>1</c:v>
                </c:pt>
                <c:pt idx="4">
                  <c:v>2</c:v>
                </c:pt>
                <c:pt idx="5">
                  <c:v>1</c:v>
                </c:pt>
                <c:pt idx="6">
                  <c:v>1</c:v>
                </c:pt>
                <c:pt idx="7">
                  <c:v>1</c:v>
                </c:pt>
                <c:pt idx="8">
                  <c:v>1</c:v>
                </c:pt>
                <c:pt idx="9">
                  <c:v>1</c:v>
                </c:pt>
                <c:pt idx="10">
                  <c:v>1</c:v>
                </c:pt>
                <c:pt idx="11">
                  <c:v>1</c:v>
                </c:pt>
                <c:pt idx="12">
                  <c:v>2</c:v>
                </c:pt>
                <c:pt idx="13">
                  <c:v>1</c:v>
                </c:pt>
                <c:pt idx="14">
                  <c:v>2</c:v>
                </c:pt>
                <c:pt idx="15">
                  <c:v>1</c:v>
                </c:pt>
                <c:pt idx="16">
                  <c:v>5</c:v>
                </c:pt>
                <c:pt idx="17">
                  <c:v>4</c:v>
                </c:pt>
                <c:pt idx="18">
                  <c:v>6</c:v>
                </c:pt>
                <c:pt idx="19">
                  <c:v>2</c:v>
                </c:pt>
              </c:numCache>
            </c:numRef>
          </c:xVal>
          <c:yVal>
            <c:numRef>
              <c:f>Tensile_strength!$D$63:$D$82</c:f>
              <c:numCache>
                <c:formatCode>General</c:formatCode>
                <c:ptCount val="20"/>
                <c:pt idx="0">
                  <c:v>5.7768469694065256</c:v>
                </c:pt>
                <c:pt idx="1">
                  <c:v>11.7098249379862</c:v>
                </c:pt>
                <c:pt idx="2">
                  <c:v>8.5872049545232141</c:v>
                </c:pt>
                <c:pt idx="3">
                  <c:v>6.8697639636185723</c:v>
                </c:pt>
                <c:pt idx="4">
                  <c:v>5.4645849710602263</c:v>
                </c:pt>
                <c:pt idx="5">
                  <c:v>1.2490479933851948</c:v>
                </c:pt>
                <c:pt idx="6">
                  <c:v>3.1226199834629869</c:v>
                </c:pt>
                <c:pt idx="7">
                  <c:v>8.7433359536963628</c:v>
                </c:pt>
                <c:pt idx="8">
                  <c:v>6.2452399669259737</c:v>
                </c:pt>
                <c:pt idx="9">
                  <c:v>10.616907943774153</c:v>
                </c:pt>
                <c:pt idx="10">
                  <c:v>9.9923839470815583</c:v>
                </c:pt>
                <c:pt idx="11">
                  <c:v>3.1226199834629869</c:v>
                </c:pt>
                <c:pt idx="12">
                  <c:v>22.638994880106655</c:v>
                </c:pt>
                <c:pt idx="13">
                  <c:v>5.620715970233376</c:v>
                </c:pt>
                <c:pt idx="14">
                  <c:v>3.7471439801555841</c:v>
                </c:pt>
                <c:pt idx="15">
                  <c:v>3.7471439801555841</c:v>
                </c:pt>
                <c:pt idx="16">
                  <c:v>11.965879776630164</c:v>
                </c:pt>
                <c:pt idx="17">
                  <c:v>11.865955937159349</c:v>
                </c:pt>
                <c:pt idx="18">
                  <c:v>5.8809343021886251</c:v>
                </c:pt>
                <c:pt idx="19">
                  <c:v>0.62452399669259739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1079-4CE2-A00C-FB67DF3CCC5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33192256"/>
        <c:axId val="233187664"/>
      </c:scatterChart>
      <c:valAx>
        <c:axId val="23319225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 marL="0" marR="0" lvl="0" indent="0" algn="ctr" defTabSz="914400" rtl="0" eaLnBrk="1" fontAlgn="auto" latinLnBrk="0" hangingPunct="1">
                  <a:lnSpc>
                    <a:spcPct val="100000"/>
                  </a:lnSpc>
                  <a:spcBef>
                    <a:spcPts val="0"/>
                  </a:spcBef>
                  <a:spcAft>
                    <a:spcPts val="0"/>
                  </a:spcAft>
                  <a:buClrTx/>
                  <a:buSzTx/>
                  <a:buFontTx/>
                  <a:buNone/>
                  <a:tabLst/>
                  <a:defRPr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de-DE"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Diameter at Breaking Point [mm]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 marL="0" marR="0" lvl="0" indent="0" algn="ctr" defTabSz="914400" rtl="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 sz="1000" b="0" i="0" u="none" strike="noStrike" kern="1200" baseline="0">
                  <a:solidFill>
                    <a:sysClr val="windowText" lastClr="000000">
                      <a:lumMod val="65000"/>
                      <a:lumOff val="35000"/>
                    </a:sysClr>
                  </a:solidFill>
                  <a:latin typeface="+mn-lt"/>
                  <a:ea typeface="+mn-ea"/>
                  <a:cs typeface="+mn-cs"/>
                </a:defRPr>
              </a:pPr>
              <a:endParaRPr lang="de-DE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233187664"/>
        <c:crosses val="autoZero"/>
        <c:crossBetween val="midCat"/>
      </c:valAx>
      <c:valAx>
        <c:axId val="23318766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 marL="0" marR="0" lvl="0" indent="0" algn="ctr" defTabSz="914400" rtl="0" eaLnBrk="1" fontAlgn="auto" latinLnBrk="0" hangingPunct="1">
                  <a:lnSpc>
                    <a:spcPct val="100000"/>
                  </a:lnSpc>
                  <a:spcBef>
                    <a:spcPts val="0"/>
                  </a:spcBef>
                  <a:spcAft>
                    <a:spcPts val="0"/>
                  </a:spcAft>
                  <a:buClrTx/>
                  <a:buSzTx/>
                  <a:buFontTx/>
                  <a:buNone/>
                  <a:tabLst/>
                  <a:defRPr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de-DE"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Root Tensile Strength [MPa]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 marL="0" marR="0" lvl="0" indent="0" algn="ctr" defTabSz="914400" rtl="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 sz="1000" b="0" i="0" u="none" strike="noStrike" kern="1200" baseline="0">
                  <a:solidFill>
                    <a:sysClr val="windowText" lastClr="000000">
                      <a:lumMod val="65000"/>
                      <a:lumOff val="35000"/>
                    </a:sysClr>
                  </a:solidFill>
                  <a:latin typeface="+mn-lt"/>
                  <a:ea typeface="+mn-ea"/>
                  <a:cs typeface="+mn-cs"/>
                </a:defRPr>
              </a:pPr>
              <a:endParaRPr lang="de-DE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23319225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de-DE"/>
    </a:p>
  </c:txPr>
  <c:printSettings>
    <c:headerFooter/>
    <c:pageMargins b="0.78740157499999996" l="0.7" r="0.7" t="0.78740157499999996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246696</xdr:colOff>
      <xdr:row>2</xdr:row>
      <xdr:rowOff>0</xdr:rowOff>
    </xdr:from>
    <xdr:to>
      <xdr:col>11</xdr:col>
      <xdr:colOff>419099</xdr:colOff>
      <xdr:row>19</xdr:row>
      <xdr:rowOff>45720</xdr:rowOff>
    </xdr:to>
    <xdr:graphicFrame macro="">
      <xdr:nvGraphicFramePr>
        <xdr:cNvPr id="2" name="Diagramm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401002</xdr:colOff>
      <xdr:row>23</xdr:row>
      <xdr:rowOff>167639</xdr:rowOff>
    </xdr:from>
    <xdr:to>
      <xdr:col>11</xdr:col>
      <xdr:colOff>579120</xdr:colOff>
      <xdr:row>41</xdr:row>
      <xdr:rowOff>38100</xdr:rowOff>
    </xdr:to>
    <xdr:graphicFrame macro="">
      <xdr:nvGraphicFramePr>
        <xdr:cNvPr id="3" name="Diagramm 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4</xdr:col>
      <xdr:colOff>610552</xdr:colOff>
      <xdr:row>62</xdr:row>
      <xdr:rowOff>142874</xdr:rowOff>
    </xdr:from>
    <xdr:to>
      <xdr:col>11</xdr:col>
      <xdr:colOff>777240</xdr:colOff>
      <xdr:row>80</xdr:row>
      <xdr:rowOff>7619</xdr:rowOff>
    </xdr:to>
    <xdr:graphicFrame macro="">
      <xdr:nvGraphicFramePr>
        <xdr:cNvPr id="7" name="Diagramm 6">
          <a:extLst>
            <a:ext uri="{FF2B5EF4-FFF2-40B4-BE49-F238E27FC236}">
              <a16:creationId xmlns:a16="http://schemas.microsoft.com/office/drawing/2014/main" id="{00000000-0008-0000-0100-000007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_rels/pivotCacheDefinition3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3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Lukas Gartner" refreshedDate="45344.612200115742" createdVersion="6" refreshedVersion="6" minRefreshableVersion="3" recordCount="5" xr:uid="{00000000-000A-0000-FFFF-FFFF1A000000}">
  <cacheSource type="worksheet">
    <worksheetSource ref="O2:P7" sheet="RAR"/>
  </cacheSource>
  <cacheFields count="2">
    <cacheField name="RAR [%]" numFmtId="164">
      <sharedItems containsSemiMixedTypes="0" containsString="0" containsNumber="1" minValue="2.04203522483337E-2" maxValue="0.25918139392115802"/>
    </cacheField>
    <cacheField name="depth [cm]" numFmtId="0">
      <sharedItems containsMixedTypes="1" containsNumber="1" containsInteger="1" minValue="5" maxValue="45" count="5">
        <n v="5"/>
        <s v="15"/>
        <n v="25"/>
        <n v="35"/>
        <n v="45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Lukas Gartner" refreshedDate="45344.615008449073" createdVersion="6" refreshedVersion="6" minRefreshableVersion="3" recordCount="5" xr:uid="{00000000-000A-0000-FFFF-FFFF1D000000}">
  <cacheSource type="worksheet">
    <worksheetSource ref="L29:M34" sheet="RAR"/>
  </cacheSource>
  <cacheFields count="2">
    <cacheField name="RAR [%]" numFmtId="0">
      <sharedItems containsSemiMixedTypes="0" containsString="0" containsNumber="1" minValue="0" maxValue="0.19792033717615701"/>
    </cacheField>
    <cacheField name="depth [cm]" numFmtId="0">
      <sharedItems containsMixedTypes="1" containsNumber="1" containsInteger="1" minValue="5" maxValue="45" count="5">
        <n v="5"/>
        <s v="15"/>
        <n v="25"/>
        <n v="35"/>
        <n v="45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Lukas Gartner" refreshedDate="45344.615310763889" createdVersion="6" refreshedVersion="6" minRefreshableVersion="3" recordCount="5" xr:uid="{00000000-000A-0000-FFFF-FFFF20000000}">
  <cacheSource type="worksheet">
    <worksheetSource ref="L56:M61" sheet="RAR"/>
  </cacheSource>
  <cacheFields count="2">
    <cacheField name="RAR [%]" numFmtId="0">
      <sharedItems containsSemiMixedTypes="0" containsString="0" containsNumber="1" minValue="3.6128315516282601E-2" maxValue="0.205774318810131"/>
    </cacheField>
    <cacheField name="depth [cm]" numFmtId="0">
      <sharedItems containsMixedTypes="1" containsNumber="1" containsInteger="1" minValue="5" maxValue="45" count="5">
        <n v="5"/>
        <s v="15"/>
        <n v="25"/>
        <n v="35"/>
        <n v="45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5">
  <r>
    <n v="0.25918139392115802"/>
    <x v="0"/>
  </r>
  <r>
    <n v="0.174358392274234"/>
    <x v="1"/>
  </r>
  <r>
    <n v="0.105243353895258"/>
    <x v="2"/>
  </r>
  <r>
    <n v="2.04203522483337E-2"/>
    <x v="3"/>
  </r>
  <r>
    <n v="0.15707963267948999"/>
    <x v="4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count="5">
  <r>
    <n v="0.19792033717615701"/>
    <x v="0"/>
  </r>
  <r>
    <n v="0.108384946548848"/>
    <x v="1"/>
  </r>
  <r>
    <n v="1.7278759594743901E-2"/>
    <x v="2"/>
  </r>
  <r>
    <n v="1.5707963267949001E-3"/>
    <x v="3"/>
  </r>
  <r>
    <n v="0"/>
    <x v="4"/>
  </r>
</pivotCacheRecords>
</file>

<file path=xl/pivotCache/pivotCacheRecords3.xml><?xml version="1.0" encoding="utf-8"?>
<pivotCacheRecords xmlns="http://schemas.openxmlformats.org/spreadsheetml/2006/main" xmlns:r="http://schemas.openxmlformats.org/officeDocument/2006/relationships" count="5">
  <r>
    <n v="8.1681408993334606E-2"/>
    <x v="0"/>
  </r>
  <r>
    <n v="0.19792033717615701"/>
    <x v="1"/>
  </r>
  <r>
    <n v="0.205774318810131"/>
    <x v="2"/>
  </r>
  <r>
    <n v="6.4402649398590792E-2"/>
    <x v="3"/>
  </r>
  <r>
    <n v="3.6128315516282601E-2"/>
    <x v="4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200-000000000000}" name="PivotTable13" cacheId="5" applyNumberFormats="0" applyBorderFormats="0" applyFontFormats="0" applyPatternFormats="0" applyAlignmentFormats="0" applyWidthHeightFormats="1" dataCaption="Werte" updatedVersion="6" minRefreshableVersion="3" useAutoFormatting="1" itemPrintTitles="1" createdVersion="6" indent="0" outline="1" outlineData="1" multipleFieldFilters="0" rowHeaderCaption="depth [cm]">
  <location ref="A34:B40" firstHeaderRow="1" firstDataRow="1" firstDataCol="1"/>
  <pivotFields count="2">
    <pivotField dataField="1" numFmtId="164" showAll="0"/>
    <pivotField axis="axisRow" showAll="0">
      <items count="6">
        <item x="0"/>
        <item x="2"/>
        <item x="3"/>
        <item x="4"/>
        <item x="1"/>
        <item t="default"/>
      </items>
    </pivotField>
  </pivotFields>
  <rowFields count="1">
    <field x="1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Summe von RAR [%]" fld="0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300-000001000000}" name="PivotTable14" cacheId="6" applyNumberFormats="0" applyBorderFormats="0" applyFontFormats="0" applyPatternFormats="0" applyAlignmentFormats="0" applyWidthHeightFormats="1" dataCaption="Werte" updatedVersion="6" minRefreshableVersion="3" useAutoFormatting="1" itemPrintTitles="1" createdVersion="6" indent="0" outline="1" outlineData="1" multipleFieldFilters="0">
  <location ref="A34:B40" firstHeaderRow="1" firstDataRow="1" firstDataCol="1"/>
  <pivotFields count="2">
    <pivotField dataField="1" showAll="0"/>
    <pivotField axis="axisRow" showAll="0">
      <items count="6">
        <item x="0"/>
        <item x="2"/>
        <item x="3"/>
        <item x="4"/>
        <item x="1"/>
        <item t="default"/>
      </items>
    </pivotField>
  </pivotFields>
  <rowFields count="1">
    <field x="1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Summe von RAR [%]" fld="0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400-000002000000}" name="PivotTable15" cacheId="7" applyNumberFormats="0" applyBorderFormats="0" applyFontFormats="0" applyPatternFormats="0" applyAlignmentFormats="0" applyWidthHeightFormats="1" dataCaption="Werte" updatedVersion="6" minRefreshableVersion="3" useAutoFormatting="1" itemPrintTitles="1" createdVersion="6" indent="0" outline="1" outlineData="1" multipleFieldFilters="0">
  <location ref="A34:B40" firstHeaderRow="1" firstDataRow="1" firstDataCol="1"/>
  <pivotFields count="2">
    <pivotField dataField="1" showAll="0"/>
    <pivotField axis="axisRow" showAll="0">
      <items count="6">
        <item x="0"/>
        <item x="2"/>
        <item x="3"/>
        <item x="4"/>
        <item x="1"/>
        <item t="default"/>
      </items>
    </pivotField>
  </pivotFields>
  <rowFields count="1">
    <field x="1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Summe von RAR [%]" fld="0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B176"/>
  <sheetViews>
    <sheetView workbookViewId="0">
      <selection activeCell="B13" sqref="B13"/>
    </sheetView>
  </sheetViews>
  <sheetFormatPr baseColWidth="10" defaultRowHeight="14.4" x14ac:dyDescent="0.3"/>
  <cols>
    <col min="1" max="1" width="24" bestFit="1" customWidth="1"/>
    <col min="12" max="12" width="12" bestFit="1" customWidth="1"/>
    <col min="15" max="15" width="20.88671875" bestFit="1" customWidth="1"/>
  </cols>
  <sheetData>
    <row r="1" spans="1:28" x14ac:dyDescent="0.3">
      <c r="A1" s="1" t="s">
        <v>16</v>
      </c>
    </row>
    <row r="2" spans="1:28" x14ac:dyDescent="0.3">
      <c r="O2" t="s">
        <v>20</v>
      </c>
      <c r="P2" t="s">
        <v>21</v>
      </c>
    </row>
    <row r="3" spans="1:28" x14ac:dyDescent="0.3">
      <c r="A3" s="4"/>
      <c r="B3" s="13" t="s">
        <v>7</v>
      </c>
      <c r="C3" s="13"/>
      <c r="D3" s="13"/>
      <c r="E3" s="13"/>
      <c r="F3" s="13"/>
      <c r="G3" s="13"/>
      <c r="H3" s="13"/>
      <c r="I3" s="13"/>
      <c r="J3" s="13"/>
      <c r="O3" s="9">
        <f>0.00259181393921158*100</f>
        <v>0.25918139392115802</v>
      </c>
      <c r="P3" s="3">
        <v>5</v>
      </c>
    </row>
    <row r="4" spans="1:28" x14ac:dyDescent="0.3">
      <c r="A4" s="2" t="s">
        <v>1</v>
      </c>
      <c r="B4" s="1">
        <v>1</v>
      </c>
      <c r="C4" s="1">
        <v>2</v>
      </c>
      <c r="D4" s="1">
        <v>3</v>
      </c>
      <c r="E4" s="1">
        <v>4</v>
      </c>
      <c r="F4" s="1">
        <v>5</v>
      </c>
      <c r="G4" s="1">
        <v>6</v>
      </c>
      <c r="H4" s="1">
        <v>7</v>
      </c>
      <c r="I4" s="1">
        <v>8</v>
      </c>
      <c r="J4" s="1">
        <v>9</v>
      </c>
      <c r="K4" s="1"/>
      <c r="O4" s="9">
        <f>0.00174358392274234*100</f>
        <v>0.174358392274234</v>
      </c>
      <c r="P4" s="8" t="s">
        <v>19</v>
      </c>
    </row>
    <row r="5" spans="1:28" x14ac:dyDescent="0.3">
      <c r="A5" s="3" t="s">
        <v>2</v>
      </c>
      <c r="B5">
        <v>13</v>
      </c>
      <c r="C5">
        <v>9</v>
      </c>
      <c r="D5">
        <v>4</v>
      </c>
      <c r="E5">
        <v>5</v>
      </c>
      <c r="F5">
        <v>0</v>
      </c>
      <c r="G5">
        <v>0</v>
      </c>
      <c r="H5">
        <v>0</v>
      </c>
      <c r="I5">
        <v>0</v>
      </c>
      <c r="J5">
        <v>0</v>
      </c>
      <c r="O5" s="9">
        <f>0.00105243353895258*100</f>
        <v>0.105243353895258</v>
      </c>
      <c r="P5" s="3">
        <v>25</v>
      </c>
    </row>
    <row r="6" spans="1:28" x14ac:dyDescent="0.3">
      <c r="A6" s="6" t="s">
        <v>4</v>
      </c>
      <c r="B6">
        <v>9</v>
      </c>
      <c r="C6">
        <v>8</v>
      </c>
      <c r="D6">
        <v>1</v>
      </c>
      <c r="E6">
        <v>0</v>
      </c>
      <c r="F6">
        <v>1</v>
      </c>
      <c r="G6">
        <v>1</v>
      </c>
      <c r="H6">
        <v>0</v>
      </c>
      <c r="I6">
        <v>0</v>
      </c>
      <c r="J6">
        <v>0</v>
      </c>
      <c r="O6" s="9">
        <f>0.000204203522483337*100</f>
        <v>2.04203522483337E-2</v>
      </c>
      <c r="P6" s="3">
        <v>35</v>
      </c>
    </row>
    <row r="7" spans="1:28" x14ac:dyDescent="0.3">
      <c r="A7" s="3" t="s">
        <v>3</v>
      </c>
      <c r="B7">
        <v>2</v>
      </c>
      <c r="C7">
        <v>6</v>
      </c>
      <c r="D7">
        <v>0</v>
      </c>
      <c r="E7">
        <v>1</v>
      </c>
      <c r="F7">
        <v>1</v>
      </c>
      <c r="G7">
        <v>0</v>
      </c>
      <c r="H7">
        <v>0</v>
      </c>
      <c r="I7">
        <v>0</v>
      </c>
      <c r="J7">
        <v>0</v>
      </c>
      <c r="O7" s="9">
        <f>0.0015707963267949*100</f>
        <v>0.15707963267948999</v>
      </c>
      <c r="P7" s="3">
        <v>45</v>
      </c>
    </row>
    <row r="8" spans="1:28" x14ac:dyDescent="0.3">
      <c r="A8" s="3" t="s">
        <v>5</v>
      </c>
      <c r="B8">
        <v>5</v>
      </c>
      <c r="C8">
        <v>2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</row>
    <row r="9" spans="1:28" x14ac:dyDescent="0.3">
      <c r="A9" s="3" t="s">
        <v>6</v>
      </c>
      <c r="B9">
        <v>10</v>
      </c>
      <c r="C9">
        <v>4</v>
      </c>
      <c r="D9">
        <v>0</v>
      </c>
      <c r="E9">
        <v>0</v>
      </c>
      <c r="F9">
        <v>1</v>
      </c>
      <c r="G9">
        <v>0</v>
      </c>
      <c r="H9">
        <v>1</v>
      </c>
      <c r="I9">
        <v>0</v>
      </c>
      <c r="J9">
        <v>0</v>
      </c>
    </row>
    <row r="12" spans="1:28" x14ac:dyDescent="0.3">
      <c r="A12" s="3" t="s">
        <v>8</v>
      </c>
      <c r="K12" s="1" t="s">
        <v>14</v>
      </c>
      <c r="L12" t="s">
        <v>15</v>
      </c>
      <c r="N12">
        <f>100*500</f>
        <v>50000</v>
      </c>
      <c r="O12">
        <f>PI()/4</f>
        <v>0.78539816339744828</v>
      </c>
      <c r="P12">
        <f t="shared" ref="P12:AB27" si="0">PI()/4</f>
        <v>0.78539816339744828</v>
      </c>
      <c r="Q12">
        <f t="shared" si="0"/>
        <v>0.78539816339744828</v>
      </c>
      <c r="R12">
        <f t="shared" si="0"/>
        <v>0.78539816339744828</v>
      </c>
      <c r="S12">
        <f t="shared" si="0"/>
        <v>0.78539816339744828</v>
      </c>
      <c r="T12">
        <f t="shared" si="0"/>
        <v>0.78539816339744828</v>
      </c>
      <c r="U12">
        <f t="shared" si="0"/>
        <v>0.78539816339744828</v>
      </c>
      <c r="V12">
        <f t="shared" si="0"/>
        <v>0.78539816339744828</v>
      </c>
      <c r="W12">
        <f t="shared" si="0"/>
        <v>0.78539816339744828</v>
      </c>
      <c r="X12">
        <f t="shared" si="0"/>
        <v>0.78539816339744828</v>
      </c>
      <c r="Y12">
        <f t="shared" si="0"/>
        <v>0.78539816339744828</v>
      </c>
      <c r="Z12">
        <f t="shared" si="0"/>
        <v>0.78539816339744828</v>
      </c>
      <c r="AA12">
        <f t="shared" si="0"/>
        <v>0.78539816339744828</v>
      </c>
      <c r="AB12">
        <f t="shared" si="0"/>
        <v>0.78539816339744828</v>
      </c>
    </row>
    <row r="13" spans="1:28" x14ac:dyDescent="0.3">
      <c r="A13" s="1" t="s">
        <v>13</v>
      </c>
      <c r="B13">
        <f>O12*B4^2*B5</f>
        <v>10.210176124166829</v>
      </c>
      <c r="C13">
        <f>O12*C4^2*C5</f>
        <v>28.274333882308138</v>
      </c>
      <c r="D13">
        <f>O12*D4^2*D5</f>
        <v>28.274333882308138</v>
      </c>
      <c r="E13">
        <f>O12*E4^2*E5</f>
        <v>62.831853071795862</v>
      </c>
      <c r="F13">
        <f>O12*F4^2*F5</f>
        <v>0</v>
      </c>
      <c r="G13">
        <f>O12*G4^2*G5</f>
        <v>0</v>
      </c>
      <c r="H13">
        <f>O12*H4^2*H5</f>
        <v>0</v>
      </c>
      <c r="I13">
        <f>O12*I4^2*I5</f>
        <v>0</v>
      </c>
      <c r="J13">
        <f>O12*J4^2*J5</f>
        <v>0</v>
      </c>
      <c r="K13">
        <f>SUM(B13:J13)</f>
        <v>129.59069696057895</v>
      </c>
      <c r="L13">
        <f>K13/N12</f>
        <v>2.5918139392115788E-3</v>
      </c>
      <c r="N13">
        <f t="shared" ref="N13:N76" si="1">100*500</f>
        <v>50000</v>
      </c>
      <c r="O13">
        <f t="shared" ref="O13:AB44" si="2">PI()/4</f>
        <v>0.78539816339744828</v>
      </c>
      <c r="P13">
        <f t="shared" si="0"/>
        <v>0.78539816339744828</v>
      </c>
      <c r="Q13">
        <f t="shared" si="0"/>
        <v>0.78539816339744828</v>
      </c>
      <c r="R13">
        <f t="shared" si="0"/>
        <v>0.78539816339744828</v>
      </c>
      <c r="S13">
        <f t="shared" si="0"/>
        <v>0.78539816339744828</v>
      </c>
      <c r="T13">
        <f t="shared" si="0"/>
        <v>0.78539816339744828</v>
      </c>
      <c r="U13">
        <f t="shared" si="0"/>
        <v>0.78539816339744828</v>
      </c>
      <c r="V13">
        <f t="shared" si="0"/>
        <v>0.78539816339744828</v>
      </c>
      <c r="W13">
        <f t="shared" si="0"/>
        <v>0.78539816339744828</v>
      </c>
      <c r="X13">
        <f t="shared" si="0"/>
        <v>0.78539816339744828</v>
      </c>
      <c r="Y13">
        <f t="shared" si="0"/>
        <v>0.78539816339744828</v>
      </c>
      <c r="Z13">
        <f t="shared" si="0"/>
        <v>0.78539816339744828</v>
      </c>
      <c r="AA13">
        <f t="shared" si="0"/>
        <v>0.78539816339744828</v>
      </c>
      <c r="AB13">
        <f t="shared" si="0"/>
        <v>0.78539816339744828</v>
      </c>
    </row>
    <row r="14" spans="1:28" x14ac:dyDescent="0.3">
      <c r="N14">
        <f t="shared" si="1"/>
        <v>50000</v>
      </c>
      <c r="O14">
        <f t="shared" si="2"/>
        <v>0.78539816339744828</v>
      </c>
      <c r="P14">
        <f t="shared" si="0"/>
        <v>0.78539816339744828</v>
      </c>
      <c r="Q14">
        <f t="shared" si="0"/>
        <v>0.78539816339744828</v>
      </c>
      <c r="R14">
        <f t="shared" si="0"/>
        <v>0.78539816339744828</v>
      </c>
      <c r="S14">
        <f t="shared" si="0"/>
        <v>0.78539816339744828</v>
      </c>
      <c r="T14">
        <f t="shared" si="0"/>
        <v>0.78539816339744828</v>
      </c>
      <c r="U14">
        <f t="shared" si="0"/>
        <v>0.78539816339744828</v>
      </c>
      <c r="V14">
        <f t="shared" si="0"/>
        <v>0.78539816339744828</v>
      </c>
      <c r="W14">
        <f t="shared" si="0"/>
        <v>0.78539816339744828</v>
      </c>
      <c r="X14">
        <f t="shared" si="0"/>
        <v>0.78539816339744828</v>
      </c>
      <c r="Y14">
        <f t="shared" si="0"/>
        <v>0.78539816339744828</v>
      </c>
      <c r="Z14">
        <f t="shared" si="0"/>
        <v>0.78539816339744828</v>
      </c>
      <c r="AA14">
        <f t="shared" si="0"/>
        <v>0.78539816339744828</v>
      </c>
      <c r="AB14">
        <f t="shared" si="0"/>
        <v>0.78539816339744828</v>
      </c>
    </row>
    <row r="15" spans="1:28" x14ac:dyDescent="0.3">
      <c r="A15" s="3" t="s">
        <v>9</v>
      </c>
      <c r="N15">
        <f t="shared" si="1"/>
        <v>50000</v>
      </c>
      <c r="O15">
        <f t="shared" si="2"/>
        <v>0.78539816339744828</v>
      </c>
      <c r="P15">
        <f t="shared" si="0"/>
        <v>0.78539816339744828</v>
      </c>
      <c r="Q15">
        <f t="shared" si="0"/>
        <v>0.78539816339744828</v>
      </c>
      <c r="R15">
        <f t="shared" si="0"/>
        <v>0.78539816339744828</v>
      </c>
      <c r="S15">
        <f t="shared" si="0"/>
        <v>0.78539816339744828</v>
      </c>
      <c r="T15">
        <f t="shared" si="0"/>
        <v>0.78539816339744828</v>
      </c>
      <c r="U15">
        <f t="shared" si="0"/>
        <v>0.78539816339744828</v>
      </c>
      <c r="V15">
        <f t="shared" si="0"/>
        <v>0.78539816339744828</v>
      </c>
      <c r="W15">
        <f t="shared" si="0"/>
        <v>0.78539816339744828</v>
      </c>
      <c r="X15">
        <f t="shared" si="0"/>
        <v>0.78539816339744828</v>
      </c>
      <c r="Y15">
        <f t="shared" si="0"/>
        <v>0.78539816339744828</v>
      </c>
      <c r="Z15">
        <f t="shared" si="0"/>
        <v>0.78539816339744828</v>
      </c>
      <c r="AA15">
        <f t="shared" si="0"/>
        <v>0.78539816339744828</v>
      </c>
      <c r="AB15">
        <f t="shared" si="0"/>
        <v>0.78539816339744828</v>
      </c>
    </row>
    <row r="16" spans="1:28" x14ac:dyDescent="0.3">
      <c r="A16" s="1" t="s">
        <v>13</v>
      </c>
      <c r="B16">
        <f>O12*B4^2*B6</f>
        <v>7.0685834705770345</v>
      </c>
      <c r="C16">
        <f>O12*C4^2*C6</f>
        <v>25.132741228718345</v>
      </c>
      <c r="D16">
        <f>O12*D4^2*D6</f>
        <v>7.0685834705770345</v>
      </c>
      <c r="E16">
        <f>O12*E4^2*E6</f>
        <v>0</v>
      </c>
      <c r="F16">
        <f>O12*F4^2*F6</f>
        <v>19.634954084936208</v>
      </c>
      <c r="G16">
        <f>O12*G4^2*G6</f>
        <v>28.274333882308138</v>
      </c>
      <c r="H16">
        <f>U12*H4^2*H6</f>
        <v>0</v>
      </c>
      <c r="I16">
        <f>U12*I4^2*I6</f>
        <v>0</v>
      </c>
      <c r="J16">
        <f>W12*J4^2*J6</f>
        <v>0</v>
      </c>
      <c r="K16">
        <f>SUM(B16:J16)</f>
        <v>87.179196137116762</v>
      </c>
      <c r="L16">
        <f>K16/N12</f>
        <v>1.7435839227423352E-3</v>
      </c>
      <c r="N16">
        <f t="shared" si="1"/>
        <v>50000</v>
      </c>
      <c r="O16">
        <f t="shared" si="2"/>
        <v>0.78539816339744828</v>
      </c>
      <c r="P16">
        <f t="shared" si="0"/>
        <v>0.78539816339744828</v>
      </c>
      <c r="Q16">
        <f t="shared" si="0"/>
        <v>0.78539816339744828</v>
      </c>
      <c r="R16">
        <f t="shared" si="0"/>
        <v>0.78539816339744828</v>
      </c>
      <c r="S16">
        <f t="shared" si="0"/>
        <v>0.78539816339744828</v>
      </c>
      <c r="T16">
        <f t="shared" si="0"/>
        <v>0.78539816339744828</v>
      </c>
      <c r="U16">
        <f t="shared" si="0"/>
        <v>0.78539816339744828</v>
      </c>
      <c r="V16">
        <f t="shared" si="0"/>
        <v>0.78539816339744828</v>
      </c>
      <c r="W16">
        <f t="shared" si="0"/>
        <v>0.78539816339744828</v>
      </c>
      <c r="X16">
        <f t="shared" si="0"/>
        <v>0.78539816339744828</v>
      </c>
      <c r="Y16">
        <f t="shared" si="0"/>
        <v>0.78539816339744828</v>
      </c>
      <c r="Z16">
        <f t="shared" si="0"/>
        <v>0.78539816339744828</v>
      </c>
      <c r="AA16">
        <f t="shared" si="0"/>
        <v>0.78539816339744828</v>
      </c>
      <c r="AB16">
        <f t="shared" si="0"/>
        <v>0.78539816339744828</v>
      </c>
    </row>
    <row r="17" spans="1:28" x14ac:dyDescent="0.3">
      <c r="N17">
        <f t="shared" si="1"/>
        <v>50000</v>
      </c>
      <c r="O17">
        <f t="shared" si="2"/>
        <v>0.78539816339744828</v>
      </c>
      <c r="P17">
        <f t="shared" si="0"/>
        <v>0.78539816339744828</v>
      </c>
      <c r="Q17">
        <f t="shared" si="0"/>
        <v>0.78539816339744828</v>
      </c>
      <c r="R17">
        <f t="shared" si="0"/>
        <v>0.78539816339744828</v>
      </c>
      <c r="S17">
        <f t="shared" si="0"/>
        <v>0.78539816339744828</v>
      </c>
      <c r="T17">
        <f t="shared" si="0"/>
        <v>0.78539816339744828</v>
      </c>
      <c r="U17">
        <f t="shared" si="0"/>
        <v>0.78539816339744828</v>
      </c>
      <c r="V17">
        <f t="shared" si="0"/>
        <v>0.78539816339744828</v>
      </c>
      <c r="W17">
        <f t="shared" si="0"/>
        <v>0.78539816339744828</v>
      </c>
      <c r="X17">
        <f t="shared" si="0"/>
        <v>0.78539816339744828</v>
      </c>
      <c r="Y17">
        <f t="shared" si="0"/>
        <v>0.78539816339744828</v>
      </c>
      <c r="Z17">
        <f t="shared" si="0"/>
        <v>0.78539816339744828</v>
      </c>
      <c r="AA17">
        <f t="shared" si="0"/>
        <v>0.78539816339744828</v>
      </c>
      <c r="AB17">
        <f t="shared" si="0"/>
        <v>0.78539816339744828</v>
      </c>
    </row>
    <row r="18" spans="1:28" x14ac:dyDescent="0.3">
      <c r="A18" s="3" t="s">
        <v>10</v>
      </c>
      <c r="N18">
        <f t="shared" si="1"/>
        <v>50000</v>
      </c>
      <c r="O18">
        <f t="shared" si="2"/>
        <v>0.78539816339744828</v>
      </c>
      <c r="P18">
        <f t="shared" si="0"/>
        <v>0.78539816339744828</v>
      </c>
      <c r="Q18">
        <f t="shared" si="0"/>
        <v>0.78539816339744828</v>
      </c>
      <c r="R18">
        <f t="shared" si="0"/>
        <v>0.78539816339744828</v>
      </c>
      <c r="S18">
        <f t="shared" si="0"/>
        <v>0.78539816339744828</v>
      </c>
      <c r="T18">
        <f t="shared" si="0"/>
        <v>0.78539816339744828</v>
      </c>
      <c r="U18">
        <f t="shared" si="0"/>
        <v>0.78539816339744828</v>
      </c>
      <c r="V18">
        <f t="shared" si="0"/>
        <v>0.78539816339744828</v>
      </c>
      <c r="W18">
        <f t="shared" si="0"/>
        <v>0.78539816339744828</v>
      </c>
      <c r="X18">
        <f t="shared" si="0"/>
        <v>0.78539816339744828</v>
      </c>
      <c r="Y18">
        <f t="shared" si="0"/>
        <v>0.78539816339744828</v>
      </c>
      <c r="Z18">
        <f t="shared" si="0"/>
        <v>0.78539816339744828</v>
      </c>
      <c r="AA18">
        <f t="shared" si="0"/>
        <v>0.78539816339744828</v>
      </c>
      <c r="AB18">
        <f t="shared" si="0"/>
        <v>0.78539816339744828</v>
      </c>
    </row>
    <row r="19" spans="1:28" x14ac:dyDescent="0.3">
      <c r="A19" s="1" t="s">
        <v>13</v>
      </c>
      <c r="B19">
        <f t="shared" ref="B19:J19" si="3">O15*B4^2*B7</f>
        <v>1.5707963267948966</v>
      </c>
      <c r="C19">
        <f t="shared" si="3"/>
        <v>18.849555921538759</v>
      </c>
      <c r="D19">
        <f t="shared" si="3"/>
        <v>0</v>
      </c>
      <c r="E19">
        <f t="shared" si="3"/>
        <v>12.566370614359172</v>
      </c>
      <c r="F19">
        <f t="shared" si="3"/>
        <v>19.634954084936208</v>
      </c>
      <c r="G19">
        <f t="shared" si="3"/>
        <v>0</v>
      </c>
      <c r="H19">
        <f t="shared" si="3"/>
        <v>0</v>
      </c>
      <c r="I19">
        <f t="shared" si="3"/>
        <v>0</v>
      </c>
      <c r="J19">
        <f t="shared" si="3"/>
        <v>0</v>
      </c>
      <c r="K19">
        <f>SUM(B19:J19)</f>
        <v>52.621676947629041</v>
      </c>
      <c r="L19">
        <f t="shared" ref="L19:L25" si="4">K19/N15</f>
        <v>1.0524335389525809E-3</v>
      </c>
      <c r="N19">
        <f t="shared" si="1"/>
        <v>50000</v>
      </c>
      <c r="O19">
        <f t="shared" si="2"/>
        <v>0.78539816339744828</v>
      </c>
      <c r="P19">
        <f t="shared" si="0"/>
        <v>0.78539816339744828</v>
      </c>
      <c r="Q19">
        <f t="shared" si="0"/>
        <v>0.78539816339744828</v>
      </c>
      <c r="R19">
        <f t="shared" si="0"/>
        <v>0.78539816339744828</v>
      </c>
      <c r="S19">
        <f t="shared" si="0"/>
        <v>0.78539816339744828</v>
      </c>
      <c r="T19">
        <f t="shared" si="0"/>
        <v>0.78539816339744828</v>
      </c>
      <c r="U19">
        <f t="shared" si="0"/>
        <v>0.78539816339744828</v>
      </c>
      <c r="V19">
        <f t="shared" si="0"/>
        <v>0.78539816339744828</v>
      </c>
      <c r="W19">
        <f t="shared" si="0"/>
        <v>0.78539816339744828</v>
      </c>
      <c r="X19">
        <f t="shared" si="0"/>
        <v>0.78539816339744828</v>
      </c>
      <c r="Y19">
        <f t="shared" si="0"/>
        <v>0.78539816339744828</v>
      </c>
      <c r="Z19">
        <f t="shared" si="0"/>
        <v>0.78539816339744828</v>
      </c>
      <c r="AA19">
        <f t="shared" si="0"/>
        <v>0.78539816339744828</v>
      </c>
      <c r="AB19">
        <f t="shared" si="0"/>
        <v>0.78539816339744828</v>
      </c>
    </row>
    <row r="20" spans="1:28" x14ac:dyDescent="0.3">
      <c r="N20">
        <f t="shared" si="1"/>
        <v>50000</v>
      </c>
      <c r="O20">
        <f t="shared" si="2"/>
        <v>0.78539816339744828</v>
      </c>
      <c r="P20">
        <f t="shared" si="0"/>
        <v>0.78539816339744828</v>
      </c>
      <c r="Q20">
        <f t="shared" si="0"/>
        <v>0.78539816339744828</v>
      </c>
      <c r="R20">
        <f t="shared" si="0"/>
        <v>0.78539816339744828</v>
      </c>
      <c r="S20">
        <f t="shared" si="0"/>
        <v>0.78539816339744828</v>
      </c>
      <c r="T20">
        <f t="shared" si="0"/>
        <v>0.78539816339744828</v>
      </c>
      <c r="U20">
        <f t="shared" si="0"/>
        <v>0.78539816339744828</v>
      </c>
      <c r="V20">
        <f t="shared" si="0"/>
        <v>0.78539816339744828</v>
      </c>
      <c r="W20">
        <f t="shared" si="0"/>
        <v>0.78539816339744828</v>
      </c>
      <c r="X20">
        <f t="shared" si="0"/>
        <v>0.78539816339744828</v>
      </c>
      <c r="Y20">
        <f t="shared" si="0"/>
        <v>0.78539816339744828</v>
      </c>
      <c r="Z20">
        <f t="shared" si="0"/>
        <v>0.78539816339744828</v>
      </c>
      <c r="AA20">
        <f t="shared" si="0"/>
        <v>0.78539816339744828</v>
      </c>
      <c r="AB20">
        <f t="shared" si="0"/>
        <v>0.78539816339744828</v>
      </c>
    </row>
    <row r="21" spans="1:28" x14ac:dyDescent="0.3">
      <c r="A21" s="3" t="s">
        <v>11</v>
      </c>
      <c r="N21">
        <f t="shared" si="1"/>
        <v>50000</v>
      </c>
      <c r="O21">
        <f t="shared" si="2"/>
        <v>0.78539816339744828</v>
      </c>
      <c r="P21">
        <f t="shared" si="0"/>
        <v>0.78539816339744828</v>
      </c>
      <c r="Q21">
        <f t="shared" si="0"/>
        <v>0.78539816339744828</v>
      </c>
      <c r="R21">
        <f t="shared" si="0"/>
        <v>0.78539816339744828</v>
      </c>
      <c r="S21">
        <f t="shared" si="0"/>
        <v>0.78539816339744828</v>
      </c>
      <c r="T21">
        <f t="shared" si="0"/>
        <v>0.78539816339744828</v>
      </c>
      <c r="U21">
        <f t="shared" si="0"/>
        <v>0.78539816339744828</v>
      </c>
      <c r="V21">
        <f t="shared" si="0"/>
        <v>0.78539816339744828</v>
      </c>
      <c r="W21">
        <f t="shared" si="0"/>
        <v>0.78539816339744828</v>
      </c>
      <c r="X21">
        <f t="shared" si="0"/>
        <v>0.78539816339744828</v>
      </c>
      <c r="Y21">
        <f t="shared" si="0"/>
        <v>0.78539816339744828</v>
      </c>
      <c r="Z21">
        <f t="shared" si="0"/>
        <v>0.78539816339744828</v>
      </c>
      <c r="AA21">
        <f t="shared" si="0"/>
        <v>0.78539816339744828</v>
      </c>
      <c r="AB21">
        <f t="shared" si="0"/>
        <v>0.78539816339744828</v>
      </c>
    </row>
    <row r="22" spans="1:28" x14ac:dyDescent="0.3">
      <c r="A22" s="1" t="s">
        <v>13</v>
      </c>
      <c r="B22">
        <f t="shared" ref="B22:J22" si="5">O18*B4^2*B8</f>
        <v>3.9269908169872414</v>
      </c>
      <c r="C22">
        <f t="shared" si="5"/>
        <v>6.2831853071795862</v>
      </c>
      <c r="D22">
        <f t="shared" si="5"/>
        <v>0</v>
      </c>
      <c r="E22">
        <f t="shared" si="5"/>
        <v>0</v>
      </c>
      <c r="F22">
        <f t="shared" si="5"/>
        <v>0</v>
      </c>
      <c r="G22">
        <f t="shared" si="5"/>
        <v>0</v>
      </c>
      <c r="H22">
        <f t="shared" si="5"/>
        <v>0</v>
      </c>
      <c r="I22">
        <f t="shared" si="5"/>
        <v>0</v>
      </c>
      <c r="J22">
        <f t="shared" si="5"/>
        <v>0</v>
      </c>
      <c r="K22">
        <f>SUM(B22:J22)</f>
        <v>10.210176124166829</v>
      </c>
      <c r="L22">
        <f t="shared" si="4"/>
        <v>2.0420352248333657E-4</v>
      </c>
      <c r="N22">
        <f t="shared" si="1"/>
        <v>50000</v>
      </c>
      <c r="O22">
        <f t="shared" si="2"/>
        <v>0.78539816339744828</v>
      </c>
      <c r="P22">
        <f t="shared" si="0"/>
        <v>0.78539816339744828</v>
      </c>
      <c r="Q22">
        <f t="shared" si="0"/>
        <v>0.78539816339744828</v>
      </c>
      <c r="R22">
        <f t="shared" si="0"/>
        <v>0.78539816339744828</v>
      </c>
      <c r="S22">
        <f t="shared" si="0"/>
        <v>0.78539816339744828</v>
      </c>
      <c r="T22">
        <f t="shared" si="0"/>
        <v>0.78539816339744828</v>
      </c>
      <c r="U22">
        <f t="shared" si="0"/>
        <v>0.78539816339744828</v>
      </c>
      <c r="V22">
        <f t="shared" si="0"/>
        <v>0.78539816339744828</v>
      </c>
      <c r="W22">
        <f t="shared" si="0"/>
        <v>0.78539816339744828</v>
      </c>
      <c r="X22">
        <f t="shared" si="0"/>
        <v>0.78539816339744828</v>
      </c>
      <c r="Y22">
        <f t="shared" si="0"/>
        <v>0.78539816339744828</v>
      </c>
      <c r="Z22">
        <f t="shared" si="0"/>
        <v>0.78539816339744828</v>
      </c>
      <c r="AA22">
        <f t="shared" si="0"/>
        <v>0.78539816339744828</v>
      </c>
      <c r="AB22">
        <f t="shared" si="0"/>
        <v>0.78539816339744828</v>
      </c>
    </row>
    <row r="23" spans="1:28" x14ac:dyDescent="0.3">
      <c r="N23">
        <f t="shared" si="1"/>
        <v>50000</v>
      </c>
      <c r="O23">
        <f t="shared" si="2"/>
        <v>0.78539816339744828</v>
      </c>
      <c r="P23">
        <f t="shared" si="0"/>
        <v>0.78539816339744828</v>
      </c>
      <c r="Q23">
        <f t="shared" si="0"/>
        <v>0.78539816339744828</v>
      </c>
      <c r="R23">
        <f t="shared" si="0"/>
        <v>0.78539816339744828</v>
      </c>
      <c r="S23">
        <f t="shared" si="0"/>
        <v>0.78539816339744828</v>
      </c>
      <c r="T23">
        <f t="shared" si="0"/>
        <v>0.78539816339744828</v>
      </c>
      <c r="U23">
        <f t="shared" si="0"/>
        <v>0.78539816339744828</v>
      </c>
      <c r="V23">
        <f t="shared" si="0"/>
        <v>0.78539816339744828</v>
      </c>
      <c r="W23">
        <f t="shared" si="0"/>
        <v>0.78539816339744828</v>
      </c>
      <c r="X23">
        <f t="shared" si="0"/>
        <v>0.78539816339744828</v>
      </c>
      <c r="Y23">
        <f t="shared" si="0"/>
        <v>0.78539816339744828</v>
      </c>
      <c r="Z23">
        <f t="shared" si="0"/>
        <v>0.78539816339744828</v>
      </c>
      <c r="AA23">
        <f t="shared" si="0"/>
        <v>0.78539816339744828</v>
      </c>
      <c r="AB23">
        <f t="shared" si="0"/>
        <v>0.78539816339744828</v>
      </c>
    </row>
    <row r="24" spans="1:28" x14ac:dyDescent="0.3">
      <c r="A24" s="3" t="s">
        <v>12</v>
      </c>
      <c r="N24">
        <f t="shared" si="1"/>
        <v>50000</v>
      </c>
      <c r="O24">
        <f t="shared" si="2"/>
        <v>0.78539816339744828</v>
      </c>
      <c r="P24">
        <f t="shared" si="0"/>
        <v>0.78539816339744828</v>
      </c>
      <c r="Q24">
        <f t="shared" si="0"/>
        <v>0.78539816339744828</v>
      </c>
      <c r="R24">
        <f t="shared" si="0"/>
        <v>0.78539816339744828</v>
      </c>
      <c r="S24">
        <f t="shared" si="0"/>
        <v>0.78539816339744828</v>
      </c>
      <c r="T24">
        <f t="shared" si="0"/>
        <v>0.78539816339744828</v>
      </c>
      <c r="U24">
        <f t="shared" si="0"/>
        <v>0.78539816339744828</v>
      </c>
      <c r="V24">
        <f t="shared" si="0"/>
        <v>0.78539816339744828</v>
      </c>
      <c r="W24">
        <f t="shared" si="0"/>
        <v>0.78539816339744828</v>
      </c>
      <c r="X24">
        <f t="shared" si="0"/>
        <v>0.78539816339744828</v>
      </c>
      <c r="Y24">
        <f t="shared" si="0"/>
        <v>0.78539816339744828</v>
      </c>
      <c r="Z24">
        <f t="shared" si="0"/>
        <v>0.78539816339744828</v>
      </c>
      <c r="AA24">
        <f t="shared" si="0"/>
        <v>0.78539816339744828</v>
      </c>
      <c r="AB24">
        <f t="shared" si="0"/>
        <v>0.78539816339744828</v>
      </c>
    </row>
    <row r="25" spans="1:28" x14ac:dyDescent="0.3">
      <c r="A25" s="1" t="s">
        <v>13</v>
      </c>
      <c r="B25">
        <f t="shared" ref="B25:J25" si="6">O21*B4^2*B9</f>
        <v>7.8539816339744828</v>
      </c>
      <c r="C25">
        <f t="shared" si="6"/>
        <v>12.566370614359172</v>
      </c>
      <c r="D25">
        <f t="shared" si="6"/>
        <v>0</v>
      </c>
      <c r="E25">
        <f t="shared" si="6"/>
        <v>0</v>
      </c>
      <c r="F25">
        <f t="shared" si="6"/>
        <v>19.634954084936208</v>
      </c>
      <c r="G25">
        <f t="shared" si="6"/>
        <v>0</v>
      </c>
      <c r="H25">
        <f t="shared" si="6"/>
        <v>38.484510006474963</v>
      </c>
      <c r="I25">
        <f t="shared" si="6"/>
        <v>0</v>
      </c>
      <c r="J25">
        <f t="shared" si="6"/>
        <v>0</v>
      </c>
      <c r="K25">
        <f>SUM(B25:J25)</f>
        <v>78.539816339744831</v>
      </c>
      <c r="L25">
        <f t="shared" si="4"/>
        <v>1.5707963267948967E-3</v>
      </c>
      <c r="N25">
        <f t="shared" si="1"/>
        <v>50000</v>
      </c>
      <c r="O25">
        <f t="shared" si="2"/>
        <v>0.78539816339744828</v>
      </c>
      <c r="P25">
        <f t="shared" si="0"/>
        <v>0.78539816339744828</v>
      </c>
      <c r="Q25">
        <f t="shared" si="0"/>
        <v>0.78539816339744828</v>
      </c>
      <c r="R25">
        <f t="shared" si="0"/>
        <v>0.78539816339744828</v>
      </c>
      <c r="S25">
        <f t="shared" si="0"/>
        <v>0.78539816339744828</v>
      </c>
      <c r="T25">
        <f t="shared" si="0"/>
        <v>0.78539816339744828</v>
      </c>
      <c r="U25">
        <f t="shared" si="0"/>
        <v>0.78539816339744828</v>
      </c>
      <c r="V25">
        <f t="shared" si="0"/>
        <v>0.78539816339744828</v>
      </c>
      <c r="W25">
        <f t="shared" si="0"/>
        <v>0.78539816339744828</v>
      </c>
      <c r="X25">
        <f t="shared" si="0"/>
        <v>0.78539816339744828</v>
      </c>
      <c r="Y25">
        <f t="shared" si="0"/>
        <v>0.78539816339744828</v>
      </c>
      <c r="Z25">
        <f t="shared" si="0"/>
        <v>0.78539816339744828</v>
      </c>
      <c r="AA25">
        <f t="shared" si="0"/>
        <v>0.78539816339744828</v>
      </c>
      <c r="AB25">
        <f t="shared" si="0"/>
        <v>0.78539816339744828</v>
      </c>
    </row>
    <row r="26" spans="1:28" x14ac:dyDescent="0.3">
      <c r="N26">
        <f t="shared" si="1"/>
        <v>50000</v>
      </c>
      <c r="O26">
        <f t="shared" si="2"/>
        <v>0.78539816339744828</v>
      </c>
      <c r="P26">
        <f t="shared" si="0"/>
        <v>0.78539816339744828</v>
      </c>
      <c r="Q26">
        <f t="shared" si="0"/>
        <v>0.78539816339744828</v>
      </c>
      <c r="R26">
        <f t="shared" si="0"/>
        <v>0.78539816339744828</v>
      </c>
      <c r="S26">
        <f t="shared" si="0"/>
        <v>0.78539816339744828</v>
      </c>
      <c r="T26">
        <f t="shared" si="0"/>
        <v>0.78539816339744828</v>
      </c>
      <c r="U26">
        <f t="shared" si="0"/>
        <v>0.78539816339744828</v>
      </c>
      <c r="V26">
        <f t="shared" si="0"/>
        <v>0.78539816339744828</v>
      </c>
      <c r="W26">
        <f t="shared" si="0"/>
        <v>0.78539816339744828</v>
      </c>
      <c r="X26">
        <f t="shared" si="0"/>
        <v>0.78539816339744828</v>
      </c>
      <c r="Y26">
        <f t="shared" si="0"/>
        <v>0.78539816339744828</v>
      </c>
      <c r="Z26">
        <f t="shared" si="0"/>
        <v>0.78539816339744828</v>
      </c>
      <c r="AA26">
        <f t="shared" si="0"/>
        <v>0.78539816339744828</v>
      </c>
      <c r="AB26">
        <f t="shared" si="0"/>
        <v>0.78539816339744828</v>
      </c>
    </row>
    <row r="27" spans="1:28" x14ac:dyDescent="0.3">
      <c r="N27">
        <f t="shared" si="1"/>
        <v>50000</v>
      </c>
      <c r="O27">
        <f t="shared" si="2"/>
        <v>0.78539816339744828</v>
      </c>
      <c r="P27">
        <f t="shared" si="0"/>
        <v>0.78539816339744828</v>
      </c>
      <c r="Q27">
        <f t="shared" si="0"/>
        <v>0.78539816339744828</v>
      </c>
      <c r="R27">
        <f t="shared" si="0"/>
        <v>0.78539816339744828</v>
      </c>
      <c r="S27">
        <f t="shared" si="0"/>
        <v>0.78539816339744828</v>
      </c>
      <c r="T27">
        <f t="shared" si="0"/>
        <v>0.78539816339744828</v>
      </c>
      <c r="U27">
        <f t="shared" si="0"/>
        <v>0.78539816339744828</v>
      </c>
      <c r="V27">
        <f t="shared" si="0"/>
        <v>0.78539816339744828</v>
      </c>
      <c r="W27">
        <f t="shared" si="0"/>
        <v>0.78539816339744828</v>
      </c>
      <c r="X27">
        <f t="shared" si="0"/>
        <v>0.78539816339744828</v>
      </c>
      <c r="Y27">
        <f t="shared" si="0"/>
        <v>0.78539816339744828</v>
      </c>
      <c r="Z27">
        <f t="shared" si="0"/>
        <v>0.78539816339744828</v>
      </c>
      <c r="AA27">
        <f t="shared" si="0"/>
        <v>0.78539816339744828</v>
      </c>
      <c r="AB27">
        <f t="shared" si="0"/>
        <v>0.78539816339744828</v>
      </c>
    </row>
    <row r="28" spans="1:28" x14ac:dyDescent="0.3">
      <c r="A28" s="1" t="s">
        <v>17</v>
      </c>
      <c r="N28">
        <f t="shared" si="1"/>
        <v>50000</v>
      </c>
      <c r="O28">
        <f t="shared" si="2"/>
        <v>0.78539816339744828</v>
      </c>
      <c r="P28">
        <f t="shared" si="2"/>
        <v>0.78539816339744828</v>
      </c>
      <c r="Q28">
        <f t="shared" si="2"/>
        <v>0.78539816339744828</v>
      </c>
      <c r="R28">
        <f t="shared" si="2"/>
        <v>0.78539816339744828</v>
      </c>
      <c r="S28">
        <f t="shared" si="2"/>
        <v>0.78539816339744828</v>
      </c>
      <c r="T28">
        <f t="shared" si="2"/>
        <v>0.78539816339744828</v>
      </c>
      <c r="U28">
        <f t="shared" si="2"/>
        <v>0.78539816339744828</v>
      </c>
      <c r="V28">
        <f t="shared" si="2"/>
        <v>0.78539816339744828</v>
      </c>
      <c r="W28">
        <f t="shared" si="2"/>
        <v>0.78539816339744828</v>
      </c>
      <c r="X28">
        <f t="shared" si="2"/>
        <v>0.78539816339744828</v>
      </c>
      <c r="Y28">
        <f t="shared" si="2"/>
        <v>0.78539816339744828</v>
      </c>
      <c r="Z28">
        <f t="shared" si="2"/>
        <v>0.78539816339744828</v>
      </c>
      <c r="AA28">
        <f t="shared" si="2"/>
        <v>0.78539816339744828</v>
      </c>
      <c r="AB28">
        <f t="shared" si="2"/>
        <v>0.78539816339744828</v>
      </c>
    </row>
    <row r="29" spans="1:28" x14ac:dyDescent="0.3">
      <c r="L29" t="s">
        <v>20</v>
      </c>
      <c r="M29" t="s">
        <v>21</v>
      </c>
      <c r="N29">
        <f t="shared" si="1"/>
        <v>50000</v>
      </c>
      <c r="O29">
        <f t="shared" si="2"/>
        <v>0.78539816339744828</v>
      </c>
      <c r="P29">
        <f t="shared" si="2"/>
        <v>0.78539816339744828</v>
      </c>
      <c r="Q29">
        <f t="shared" si="2"/>
        <v>0.78539816339744828</v>
      </c>
      <c r="R29">
        <f t="shared" si="2"/>
        <v>0.78539816339744828</v>
      </c>
      <c r="S29">
        <f t="shared" si="2"/>
        <v>0.78539816339744828</v>
      </c>
      <c r="T29">
        <f t="shared" si="2"/>
        <v>0.78539816339744828</v>
      </c>
      <c r="U29">
        <f t="shared" si="2"/>
        <v>0.78539816339744828</v>
      </c>
      <c r="V29">
        <f t="shared" si="2"/>
        <v>0.78539816339744828</v>
      </c>
      <c r="W29">
        <f t="shared" si="2"/>
        <v>0.78539816339744828</v>
      </c>
      <c r="X29">
        <f t="shared" si="2"/>
        <v>0.78539816339744828</v>
      </c>
      <c r="Y29">
        <f t="shared" si="2"/>
        <v>0.78539816339744828</v>
      </c>
      <c r="Z29">
        <f t="shared" si="2"/>
        <v>0.78539816339744828</v>
      </c>
      <c r="AA29">
        <f t="shared" si="2"/>
        <v>0.78539816339744828</v>
      </c>
      <c r="AB29">
        <f t="shared" si="2"/>
        <v>0.78539816339744828</v>
      </c>
    </row>
    <row r="30" spans="1:28" x14ac:dyDescent="0.3">
      <c r="A30" s="4"/>
      <c r="B30" s="13" t="s">
        <v>7</v>
      </c>
      <c r="C30" s="13"/>
      <c r="D30" s="13"/>
      <c r="E30" s="13"/>
      <c r="F30" s="13"/>
      <c r="G30" s="13"/>
      <c r="H30" s="13"/>
      <c r="I30" s="13"/>
      <c r="J30" s="13"/>
      <c r="L30">
        <f>0.00197920337176157*100</f>
        <v>0.19792033717615701</v>
      </c>
      <c r="M30" s="3">
        <v>5</v>
      </c>
      <c r="N30">
        <f t="shared" si="1"/>
        <v>50000</v>
      </c>
      <c r="O30">
        <f t="shared" si="2"/>
        <v>0.78539816339744828</v>
      </c>
      <c r="P30">
        <f t="shared" si="2"/>
        <v>0.78539816339744828</v>
      </c>
      <c r="Q30">
        <f t="shared" si="2"/>
        <v>0.78539816339744828</v>
      </c>
      <c r="R30">
        <f t="shared" si="2"/>
        <v>0.78539816339744828</v>
      </c>
      <c r="S30">
        <f t="shared" si="2"/>
        <v>0.78539816339744828</v>
      </c>
      <c r="T30">
        <f t="shared" si="2"/>
        <v>0.78539816339744828</v>
      </c>
      <c r="U30">
        <f t="shared" si="2"/>
        <v>0.78539816339744828</v>
      </c>
      <c r="V30">
        <f t="shared" si="2"/>
        <v>0.78539816339744828</v>
      </c>
      <c r="W30">
        <f t="shared" si="2"/>
        <v>0.78539816339744828</v>
      </c>
      <c r="X30">
        <f t="shared" si="2"/>
        <v>0.78539816339744828</v>
      </c>
      <c r="Y30">
        <f t="shared" si="2"/>
        <v>0.78539816339744828</v>
      </c>
      <c r="Z30">
        <f t="shared" si="2"/>
        <v>0.78539816339744828</v>
      </c>
      <c r="AA30">
        <f t="shared" si="2"/>
        <v>0.78539816339744828</v>
      </c>
      <c r="AB30">
        <f t="shared" si="2"/>
        <v>0.78539816339744828</v>
      </c>
    </row>
    <row r="31" spans="1:28" x14ac:dyDescent="0.3">
      <c r="A31" s="2" t="s">
        <v>1</v>
      </c>
      <c r="B31" s="1">
        <v>1</v>
      </c>
      <c r="C31" s="1">
        <v>2</v>
      </c>
      <c r="D31" s="1">
        <v>3</v>
      </c>
      <c r="E31" s="1">
        <v>4</v>
      </c>
      <c r="F31" s="1">
        <v>5</v>
      </c>
      <c r="G31" s="1">
        <v>6</v>
      </c>
      <c r="H31" s="1">
        <v>7</v>
      </c>
      <c r="I31" s="1">
        <v>8</v>
      </c>
      <c r="J31" s="1">
        <v>9</v>
      </c>
      <c r="K31" s="1"/>
      <c r="L31">
        <f>0.00108384946548848*100</f>
        <v>0.108384946548848</v>
      </c>
      <c r="M31" s="8" t="s">
        <v>19</v>
      </c>
      <c r="N31">
        <f t="shared" si="1"/>
        <v>50000</v>
      </c>
      <c r="O31">
        <f t="shared" si="2"/>
        <v>0.78539816339744828</v>
      </c>
      <c r="P31">
        <f t="shared" si="2"/>
        <v>0.78539816339744828</v>
      </c>
      <c r="Q31">
        <f t="shared" si="2"/>
        <v>0.78539816339744828</v>
      </c>
      <c r="R31">
        <f t="shared" si="2"/>
        <v>0.78539816339744828</v>
      </c>
      <c r="S31">
        <f t="shared" si="2"/>
        <v>0.78539816339744828</v>
      </c>
      <c r="T31">
        <f t="shared" si="2"/>
        <v>0.78539816339744828</v>
      </c>
      <c r="U31">
        <f t="shared" si="2"/>
        <v>0.78539816339744828</v>
      </c>
      <c r="V31">
        <f t="shared" si="2"/>
        <v>0.78539816339744828</v>
      </c>
      <c r="W31">
        <f t="shared" si="2"/>
        <v>0.78539816339744828</v>
      </c>
      <c r="X31">
        <f t="shared" si="2"/>
        <v>0.78539816339744828</v>
      </c>
      <c r="Y31">
        <f t="shared" si="2"/>
        <v>0.78539816339744828</v>
      </c>
      <c r="Z31">
        <f t="shared" si="2"/>
        <v>0.78539816339744828</v>
      </c>
      <c r="AA31">
        <f t="shared" si="2"/>
        <v>0.78539816339744828</v>
      </c>
      <c r="AB31">
        <f t="shared" si="2"/>
        <v>0.78539816339744828</v>
      </c>
    </row>
    <row r="32" spans="1:28" x14ac:dyDescent="0.3">
      <c r="A32" s="3" t="s">
        <v>2</v>
      </c>
      <c r="B32">
        <v>15</v>
      </c>
      <c r="C32">
        <v>1</v>
      </c>
      <c r="D32">
        <v>1</v>
      </c>
      <c r="E32">
        <v>0</v>
      </c>
      <c r="F32">
        <v>0</v>
      </c>
      <c r="G32">
        <v>0</v>
      </c>
      <c r="H32">
        <v>2</v>
      </c>
      <c r="I32">
        <v>0</v>
      </c>
      <c r="J32">
        <v>0</v>
      </c>
      <c r="L32">
        <f>0.000172787595947439*100</f>
        <v>1.7278759594743901E-2</v>
      </c>
      <c r="M32" s="3">
        <v>25</v>
      </c>
      <c r="N32">
        <f t="shared" si="1"/>
        <v>50000</v>
      </c>
      <c r="O32">
        <f t="shared" si="2"/>
        <v>0.78539816339744828</v>
      </c>
      <c r="P32">
        <f t="shared" si="2"/>
        <v>0.78539816339744828</v>
      </c>
      <c r="Q32">
        <f t="shared" si="2"/>
        <v>0.78539816339744828</v>
      </c>
      <c r="R32">
        <f t="shared" si="2"/>
        <v>0.78539816339744828</v>
      </c>
      <c r="S32">
        <f t="shared" si="2"/>
        <v>0.78539816339744828</v>
      </c>
      <c r="T32">
        <f t="shared" si="2"/>
        <v>0.78539816339744828</v>
      </c>
      <c r="U32">
        <f t="shared" si="2"/>
        <v>0.78539816339744828</v>
      </c>
      <c r="V32">
        <f t="shared" si="2"/>
        <v>0.78539816339744828</v>
      </c>
      <c r="W32">
        <f t="shared" si="2"/>
        <v>0.78539816339744828</v>
      </c>
      <c r="X32">
        <f t="shared" si="2"/>
        <v>0.78539816339744828</v>
      </c>
      <c r="Y32">
        <f t="shared" si="2"/>
        <v>0.78539816339744828</v>
      </c>
      <c r="Z32">
        <f t="shared" si="2"/>
        <v>0.78539816339744828</v>
      </c>
      <c r="AA32">
        <f t="shared" si="2"/>
        <v>0.78539816339744828</v>
      </c>
      <c r="AB32">
        <f t="shared" si="2"/>
        <v>0.78539816339744828</v>
      </c>
    </row>
    <row r="33" spans="1:28" x14ac:dyDescent="0.3">
      <c r="A33" s="6" t="s">
        <v>4</v>
      </c>
      <c r="B33">
        <v>2</v>
      </c>
      <c r="C33">
        <v>2</v>
      </c>
      <c r="D33">
        <v>2</v>
      </c>
      <c r="E33">
        <v>1</v>
      </c>
      <c r="F33">
        <v>1</v>
      </c>
      <c r="G33">
        <v>0</v>
      </c>
      <c r="H33">
        <v>0</v>
      </c>
      <c r="I33">
        <v>0</v>
      </c>
      <c r="J33">
        <v>0</v>
      </c>
      <c r="L33" s="7">
        <f>0.000015707963267949*100</f>
        <v>1.5707963267949001E-3</v>
      </c>
      <c r="M33" s="3">
        <v>35</v>
      </c>
      <c r="N33">
        <f t="shared" si="1"/>
        <v>50000</v>
      </c>
      <c r="O33">
        <f t="shared" si="2"/>
        <v>0.78539816339744828</v>
      </c>
      <c r="P33">
        <f t="shared" si="2"/>
        <v>0.78539816339744828</v>
      </c>
      <c r="Q33">
        <f t="shared" si="2"/>
        <v>0.78539816339744828</v>
      </c>
      <c r="R33">
        <f t="shared" si="2"/>
        <v>0.78539816339744828</v>
      </c>
      <c r="S33">
        <f t="shared" si="2"/>
        <v>0.78539816339744828</v>
      </c>
      <c r="T33">
        <f t="shared" si="2"/>
        <v>0.78539816339744828</v>
      </c>
      <c r="U33">
        <f t="shared" si="2"/>
        <v>0.78539816339744828</v>
      </c>
      <c r="V33">
        <f t="shared" si="2"/>
        <v>0.78539816339744828</v>
      </c>
      <c r="W33">
        <f t="shared" si="2"/>
        <v>0.78539816339744828</v>
      </c>
      <c r="X33">
        <f t="shared" si="2"/>
        <v>0.78539816339744828</v>
      </c>
      <c r="Y33">
        <f t="shared" si="2"/>
        <v>0.78539816339744828</v>
      </c>
      <c r="Z33">
        <f t="shared" si="2"/>
        <v>0.78539816339744828</v>
      </c>
      <c r="AA33">
        <f t="shared" si="2"/>
        <v>0.78539816339744828</v>
      </c>
      <c r="AB33">
        <f t="shared" si="2"/>
        <v>0.78539816339744828</v>
      </c>
    </row>
    <row r="34" spans="1:28" x14ac:dyDescent="0.3">
      <c r="A34" s="3" t="s">
        <v>3</v>
      </c>
      <c r="B34">
        <v>2</v>
      </c>
      <c r="C34">
        <v>0</v>
      </c>
      <c r="D34">
        <v>1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L34">
        <f>0*100</f>
        <v>0</v>
      </c>
      <c r="M34" s="3">
        <v>45</v>
      </c>
      <c r="N34">
        <f t="shared" si="1"/>
        <v>50000</v>
      </c>
      <c r="O34">
        <f t="shared" si="2"/>
        <v>0.78539816339744828</v>
      </c>
      <c r="P34">
        <f t="shared" si="2"/>
        <v>0.78539816339744828</v>
      </c>
      <c r="Q34">
        <f t="shared" si="2"/>
        <v>0.78539816339744828</v>
      </c>
      <c r="R34">
        <f t="shared" si="2"/>
        <v>0.78539816339744828</v>
      </c>
      <c r="S34">
        <f t="shared" si="2"/>
        <v>0.78539816339744828</v>
      </c>
      <c r="T34">
        <f t="shared" si="2"/>
        <v>0.78539816339744828</v>
      </c>
      <c r="U34">
        <f t="shared" si="2"/>
        <v>0.78539816339744828</v>
      </c>
      <c r="V34">
        <f t="shared" si="2"/>
        <v>0.78539816339744828</v>
      </c>
      <c r="W34">
        <f t="shared" si="2"/>
        <v>0.78539816339744828</v>
      </c>
      <c r="X34">
        <f t="shared" si="2"/>
        <v>0.78539816339744828</v>
      </c>
      <c r="Y34">
        <f t="shared" si="2"/>
        <v>0.78539816339744828</v>
      </c>
      <c r="Z34">
        <f t="shared" si="2"/>
        <v>0.78539816339744828</v>
      </c>
      <c r="AA34">
        <f t="shared" si="2"/>
        <v>0.78539816339744828</v>
      </c>
      <c r="AB34">
        <f t="shared" si="2"/>
        <v>0.78539816339744828</v>
      </c>
    </row>
    <row r="35" spans="1:28" x14ac:dyDescent="0.3">
      <c r="A35" s="3" t="s">
        <v>5</v>
      </c>
      <c r="B35">
        <v>1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N35">
        <f t="shared" si="1"/>
        <v>50000</v>
      </c>
      <c r="O35">
        <f t="shared" si="2"/>
        <v>0.78539816339744828</v>
      </c>
      <c r="P35">
        <f t="shared" si="2"/>
        <v>0.78539816339744828</v>
      </c>
      <c r="Q35">
        <f t="shared" si="2"/>
        <v>0.78539816339744828</v>
      </c>
      <c r="R35">
        <f t="shared" si="2"/>
        <v>0.78539816339744828</v>
      </c>
      <c r="S35">
        <f t="shared" si="2"/>
        <v>0.78539816339744828</v>
      </c>
      <c r="T35">
        <f t="shared" si="2"/>
        <v>0.78539816339744828</v>
      </c>
      <c r="U35">
        <f t="shared" si="2"/>
        <v>0.78539816339744828</v>
      </c>
      <c r="V35">
        <f t="shared" si="2"/>
        <v>0.78539816339744828</v>
      </c>
      <c r="W35">
        <f t="shared" si="2"/>
        <v>0.78539816339744828</v>
      </c>
      <c r="X35">
        <f t="shared" si="2"/>
        <v>0.78539816339744828</v>
      </c>
      <c r="Y35">
        <f t="shared" si="2"/>
        <v>0.78539816339744828</v>
      </c>
      <c r="Z35">
        <f t="shared" si="2"/>
        <v>0.78539816339744828</v>
      </c>
      <c r="AA35">
        <f t="shared" si="2"/>
        <v>0.78539816339744828</v>
      </c>
      <c r="AB35">
        <f t="shared" si="2"/>
        <v>0.78539816339744828</v>
      </c>
    </row>
    <row r="36" spans="1:28" x14ac:dyDescent="0.3">
      <c r="A36" s="3" t="s">
        <v>6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N36">
        <f t="shared" si="1"/>
        <v>50000</v>
      </c>
      <c r="O36">
        <f t="shared" si="2"/>
        <v>0.78539816339744828</v>
      </c>
      <c r="P36">
        <f t="shared" si="2"/>
        <v>0.78539816339744828</v>
      </c>
      <c r="Q36">
        <f t="shared" si="2"/>
        <v>0.78539816339744828</v>
      </c>
      <c r="R36">
        <f t="shared" si="2"/>
        <v>0.78539816339744828</v>
      </c>
      <c r="S36">
        <f t="shared" si="2"/>
        <v>0.78539816339744828</v>
      </c>
      <c r="T36">
        <f t="shared" si="2"/>
        <v>0.78539816339744828</v>
      </c>
      <c r="U36">
        <f t="shared" si="2"/>
        <v>0.78539816339744828</v>
      </c>
      <c r="V36">
        <f t="shared" si="2"/>
        <v>0.78539816339744828</v>
      </c>
      <c r="W36">
        <f t="shared" si="2"/>
        <v>0.78539816339744828</v>
      </c>
      <c r="X36">
        <f t="shared" si="2"/>
        <v>0.78539816339744828</v>
      </c>
      <c r="Y36">
        <f t="shared" si="2"/>
        <v>0.78539816339744828</v>
      </c>
      <c r="Z36">
        <f t="shared" si="2"/>
        <v>0.78539816339744828</v>
      </c>
      <c r="AA36">
        <f t="shared" si="2"/>
        <v>0.78539816339744828</v>
      </c>
      <c r="AB36">
        <f t="shared" si="2"/>
        <v>0.78539816339744828</v>
      </c>
    </row>
    <row r="37" spans="1:28" x14ac:dyDescent="0.3">
      <c r="N37">
        <f t="shared" si="1"/>
        <v>50000</v>
      </c>
      <c r="O37">
        <f t="shared" si="2"/>
        <v>0.78539816339744828</v>
      </c>
      <c r="P37">
        <f t="shared" si="2"/>
        <v>0.78539816339744828</v>
      </c>
      <c r="Q37">
        <f t="shared" si="2"/>
        <v>0.78539816339744828</v>
      </c>
      <c r="R37">
        <f t="shared" si="2"/>
        <v>0.78539816339744828</v>
      </c>
      <c r="S37">
        <f t="shared" si="2"/>
        <v>0.78539816339744828</v>
      </c>
      <c r="T37">
        <f t="shared" si="2"/>
        <v>0.78539816339744828</v>
      </c>
      <c r="U37">
        <f t="shared" si="2"/>
        <v>0.78539816339744828</v>
      </c>
      <c r="V37">
        <f t="shared" si="2"/>
        <v>0.78539816339744828</v>
      </c>
      <c r="W37">
        <f t="shared" si="2"/>
        <v>0.78539816339744828</v>
      </c>
      <c r="X37">
        <f t="shared" si="2"/>
        <v>0.78539816339744828</v>
      </c>
      <c r="Y37">
        <f t="shared" si="2"/>
        <v>0.78539816339744828</v>
      </c>
      <c r="Z37">
        <f t="shared" si="2"/>
        <v>0.78539816339744828</v>
      </c>
      <c r="AA37">
        <f t="shared" si="2"/>
        <v>0.78539816339744828</v>
      </c>
      <c r="AB37">
        <f t="shared" si="2"/>
        <v>0.78539816339744828</v>
      </c>
    </row>
    <row r="38" spans="1:28" x14ac:dyDescent="0.3">
      <c r="N38">
        <f t="shared" si="1"/>
        <v>50000</v>
      </c>
      <c r="O38">
        <f t="shared" si="2"/>
        <v>0.78539816339744828</v>
      </c>
      <c r="P38">
        <f t="shared" si="2"/>
        <v>0.78539816339744828</v>
      </c>
      <c r="Q38">
        <f t="shared" si="2"/>
        <v>0.78539816339744828</v>
      </c>
      <c r="R38">
        <f t="shared" si="2"/>
        <v>0.78539816339744828</v>
      </c>
      <c r="S38">
        <f t="shared" si="2"/>
        <v>0.78539816339744828</v>
      </c>
      <c r="T38">
        <f t="shared" si="2"/>
        <v>0.78539816339744828</v>
      </c>
      <c r="U38">
        <f t="shared" si="2"/>
        <v>0.78539816339744828</v>
      </c>
      <c r="V38">
        <f t="shared" si="2"/>
        <v>0.78539816339744828</v>
      </c>
      <c r="W38">
        <f t="shared" si="2"/>
        <v>0.78539816339744828</v>
      </c>
      <c r="X38">
        <f t="shared" si="2"/>
        <v>0.78539816339744828</v>
      </c>
      <c r="Y38">
        <f t="shared" si="2"/>
        <v>0.78539816339744828</v>
      </c>
      <c r="Z38">
        <f t="shared" si="2"/>
        <v>0.78539816339744828</v>
      </c>
      <c r="AA38">
        <f t="shared" si="2"/>
        <v>0.78539816339744828</v>
      </c>
      <c r="AB38">
        <f t="shared" si="2"/>
        <v>0.78539816339744828</v>
      </c>
    </row>
    <row r="39" spans="1:28" x14ac:dyDescent="0.3">
      <c r="A39" s="3" t="s">
        <v>8</v>
      </c>
      <c r="K39" s="1" t="s">
        <v>14</v>
      </c>
      <c r="L39" t="s">
        <v>15</v>
      </c>
      <c r="N39">
        <f t="shared" si="1"/>
        <v>50000</v>
      </c>
      <c r="O39">
        <f t="shared" si="2"/>
        <v>0.78539816339744828</v>
      </c>
      <c r="P39">
        <f t="shared" si="2"/>
        <v>0.78539816339744828</v>
      </c>
      <c r="Q39">
        <f t="shared" si="2"/>
        <v>0.78539816339744828</v>
      </c>
      <c r="R39">
        <f t="shared" si="2"/>
        <v>0.78539816339744828</v>
      </c>
      <c r="S39">
        <f t="shared" si="2"/>
        <v>0.78539816339744828</v>
      </c>
      <c r="T39">
        <f t="shared" si="2"/>
        <v>0.78539816339744828</v>
      </c>
      <c r="U39">
        <f t="shared" si="2"/>
        <v>0.78539816339744828</v>
      </c>
      <c r="V39">
        <f t="shared" si="2"/>
        <v>0.78539816339744828</v>
      </c>
      <c r="W39">
        <f t="shared" si="2"/>
        <v>0.78539816339744828</v>
      </c>
      <c r="X39">
        <f t="shared" si="2"/>
        <v>0.78539816339744828</v>
      </c>
      <c r="Y39">
        <f t="shared" si="2"/>
        <v>0.78539816339744828</v>
      </c>
      <c r="Z39">
        <f t="shared" si="2"/>
        <v>0.78539816339744828</v>
      </c>
      <c r="AA39">
        <f t="shared" si="2"/>
        <v>0.78539816339744828</v>
      </c>
      <c r="AB39">
        <f t="shared" si="2"/>
        <v>0.78539816339744828</v>
      </c>
    </row>
    <row r="40" spans="1:28" x14ac:dyDescent="0.3">
      <c r="A40" s="1" t="s">
        <v>13</v>
      </c>
      <c r="B40">
        <f>O39*B31^2*B32</f>
        <v>11.780972450961723</v>
      </c>
      <c r="C40">
        <f>O39*C31^2*C32</f>
        <v>3.1415926535897931</v>
      </c>
      <c r="D40">
        <f>O39*D31^2*D32</f>
        <v>7.0685834705770345</v>
      </c>
      <c r="E40">
        <f>O39*E31^2*E32</f>
        <v>0</v>
      </c>
      <c r="F40">
        <f>O39*F31^2*F32</f>
        <v>0</v>
      </c>
      <c r="G40">
        <f>O39*G31^2*G32</f>
        <v>0</v>
      </c>
      <c r="H40">
        <f>O39*H31^2*H32</f>
        <v>76.969020012949926</v>
      </c>
      <c r="I40">
        <f>O39*I31^2*I32</f>
        <v>0</v>
      </c>
      <c r="J40">
        <f>O39*J31^2*J32</f>
        <v>0</v>
      </c>
      <c r="K40">
        <f>SUM(B40:J40)</f>
        <v>98.960168588078474</v>
      </c>
      <c r="L40">
        <f>K40/N39</f>
        <v>1.9792033717615696E-3</v>
      </c>
      <c r="N40">
        <f t="shared" si="1"/>
        <v>50000</v>
      </c>
      <c r="O40">
        <f t="shared" si="2"/>
        <v>0.78539816339744828</v>
      </c>
      <c r="P40">
        <f t="shared" si="2"/>
        <v>0.78539816339744828</v>
      </c>
      <c r="Q40">
        <f t="shared" si="2"/>
        <v>0.78539816339744828</v>
      </c>
      <c r="R40">
        <f t="shared" si="2"/>
        <v>0.78539816339744828</v>
      </c>
      <c r="S40">
        <f t="shared" si="2"/>
        <v>0.78539816339744828</v>
      </c>
      <c r="T40">
        <f t="shared" si="2"/>
        <v>0.78539816339744828</v>
      </c>
      <c r="U40">
        <f t="shared" si="2"/>
        <v>0.78539816339744828</v>
      </c>
      <c r="V40">
        <f t="shared" si="2"/>
        <v>0.78539816339744828</v>
      </c>
      <c r="W40">
        <f t="shared" si="2"/>
        <v>0.78539816339744828</v>
      </c>
      <c r="X40">
        <f t="shared" si="2"/>
        <v>0.78539816339744828</v>
      </c>
      <c r="Y40">
        <f t="shared" si="2"/>
        <v>0.78539816339744828</v>
      </c>
      <c r="Z40">
        <f t="shared" si="2"/>
        <v>0.78539816339744828</v>
      </c>
      <c r="AA40">
        <f t="shared" si="2"/>
        <v>0.78539816339744828</v>
      </c>
      <c r="AB40">
        <f t="shared" si="2"/>
        <v>0.78539816339744828</v>
      </c>
    </row>
    <row r="41" spans="1:28" x14ac:dyDescent="0.3">
      <c r="N41">
        <f t="shared" si="1"/>
        <v>50000</v>
      </c>
      <c r="O41">
        <f t="shared" si="2"/>
        <v>0.78539816339744828</v>
      </c>
      <c r="P41">
        <f t="shared" si="2"/>
        <v>0.78539816339744828</v>
      </c>
      <c r="Q41">
        <f t="shared" si="2"/>
        <v>0.78539816339744828</v>
      </c>
      <c r="R41">
        <f t="shared" si="2"/>
        <v>0.78539816339744828</v>
      </c>
      <c r="S41">
        <f t="shared" si="2"/>
        <v>0.78539816339744828</v>
      </c>
      <c r="T41">
        <f t="shared" si="2"/>
        <v>0.78539816339744828</v>
      </c>
      <c r="U41">
        <f t="shared" si="2"/>
        <v>0.78539816339744828</v>
      </c>
      <c r="V41">
        <f t="shared" si="2"/>
        <v>0.78539816339744828</v>
      </c>
      <c r="W41">
        <f t="shared" si="2"/>
        <v>0.78539816339744828</v>
      </c>
      <c r="X41">
        <f t="shared" si="2"/>
        <v>0.78539816339744828</v>
      </c>
      <c r="Y41">
        <f t="shared" si="2"/>
        <v>0.78539816339744828</v>
      </c>
      <c r="Z41">
        <f t="shared" si="2"/>
        <v>0.78539816339744828</v>
      </c>
      <c r="AA41">
        <f t="shared" si="2"/>
        <v>0.78539816339744828</v>
      </c>
      <c r="AB41">
        <f t="shared" si="2"/>
        <v>0.78539816339744828</v>
      </c>
    </row>
    <row r="42" spans="1:28" x14ac:dyDescent="0.3">
      <c r="A42" s="3" t="s">
        <v>9</v>
      </c>
      <c r="N42">
        <f t="shared" si="1"/>
        <v>50000</v>
      </c>
      <c r="O42">
        <f t="shared" si="2"/>
        <v>0.78539816339744828</v>
      </c>
      <c r="P42">
        <f t="shared" si="2"/>
        <v>0.78539816339744828</v>
      </c>
      <c r="Q42">
        <f t="shared" si="2"/>
        <v>0.78539816339744828</v>
      </c>
      <c r="R42">
        <f t="shared" si="2"/>
        <v>0.78539816339744828</v>
      </c>
      <c r="S42">
        <f t="shared" si="2"/>
        <v>0.78539816339744828</v>
      </c>
      <c r="T42">
        <f t="shared" si="2"/>
        <v>0.78539816339744828</v>
      </c>
      <c r="U42">
        <f t="shared" si="2"/>
        <v>0.78539816339744828</v>
      </c>
      <c r="V42">
        <f t="shared" si="2"/>
        <v>0.78539816339744828</v>
      </c>
      <c r="W42">
        <f t="shared" si="2"/>
        <v>0.78539816339744828</v>
      </c>
      <c r="X42">
        <f t="shared" si="2"/>
        <v>0.78539816339744828</v>
      </c>
      <c r="Y42">
        <f t="shared" si="2"/>
        <v>0.78539816339744828</v>
      </c>
      <c r="Z42">
        <f t="shared" si="2"/>
        <v>0.78539816339744828</v>
      </c>
      <c r="AA42">
        <f t="shared" si="2"/>
        <v>0.78539816339744828</v>
      </c>
      <c r="AB42">
        <f t="shared" si="2"/>
        <v>0.78539816339744828</v>
      </c>
    </row>
    <row r="43" spans="1:28" x14ac:dyDescent="0.3">
      <c r="A43" s="1" t="s">
        <v>13</v>
      </c>
      <c r="B43">
        <f>O39*B31^2*B33</f>
        <v>1.5707963267948966</v>
      </c>
      <c r="C43">
        <f>O39*C31^2*C33</f>
        <v>6.2831853071795862</v>
      </c>
      <c r="D43">
        <f>O39*D31^2*D33</f>
        <v>14.137166941154069</v>
      </c>
      <c r="E43">
        <f>O39*E31^2*E33</f>
        <v>12.566370614359172</v>
      </c>
      <c r="F43">
        <f>O39*F31^2*F33</f>
        <v>19.634954084936208</v>
      </c>
      <c r="G43">
        <f>O39*G31^2*G33</f>
        <v>0</v>
      </c>
      <c r="H43">
        <f>U39*H31^2*H33</f>
        <v>0</v>
      </c>
      <c r="I43">
        <f>U39*I31^2*I33</f>
        <v>0</v>
      </c>
      <c r="J43">
        <f>W39*J31^2*J33</f>
        <v>0</v>
      </c>
      <c r="K43">
        <f>SUM(B43:J43)</f>
        <v>54.192473274423932</v>
      </c>
      <c r="L43">
        <f>K43/N39</f>
        <v>1.0838494654884787E-3</v>
      </c>
      <c r="N43">
        <f t="shared" si="1"/>
        <v>50000</v>
      </c>
      <c r="O43">
        <f t="shared" si="2"/>
        <v>0.78539816339744828</v>
      </c>
      <c r="P43">
        <f t="shared" si="2"/>
        <v>0.78539816339744828</v>
      </c>
      <c r="Q43">
        <f t="shared" si="2"/>
        <v>0.78539816339744828</v>
      </c>
      <c r="R43">
        <f t="shared" si="2"/>
        <v>0.78539816339744828</v>
      </c>
      <c r="S43">
        <f t="shared" si="2"/>
        <v>0.78539816339744828</v>
      </c>
      <c r="T43">
        <f t="shared" si="2"/>
        <v>0.78539816339744828</v>
      </c>
      <c r="U43">
        <f t="shared" si="2"/>
        <v>0.78539816339744828</v>
      </c>
      <c r="V43">
        <f t="shared" si="2"/>
        <v>0.78539816339744828</v>
      </c>
      <c r="W43">
        <f t="shared" si="2"/>
        <v>0.78539816339744828</v>
      </c>
      <c r="X43">
        <f t="shared" si="2"/>
        <v>0.78539816339744828</v>
      </c>
      <c r="Y43">
        <f t="shared" si="2"/>
        <v>0.78539816339744828</v>
      </c>
      <c r="Z43">
        <f t="shared" si="2"/>
        <v>0.78539816339744828</v>
      </c>
      <c r="AA43">
        <f t="shared" si="2"/>
        <v>0.78539816339744828</v>
      </c>
      <c r="AB43">
        <f t="shared" si="2"/>
        <v>0.78539816339744828</v>
      </c>
    </row>
    <row r="44" spans="1:28" x14ac:dyDescent="0.3">
      <c r="N44">
        <f t="shared" si="1"/>
        <v>50000</v>
      </c>
      <c r="O44">
        <f t="shared" si="2"/>
        <v>0.78539816339744828</v>
      </c>
      <c r="P44">
        <f t="shared" si="2"/>
        <v>0.78539816339744828</v>
      </c>
      <c r="Q44">
        <f t="shared" si="2"/>
        <v>0.78539816339744828</v>
      </c>
      <c r="R44">
        <f t="shared" si="2"/>
        <v>0.78539816339744828</v>
      </c>
      <c r="S44">
        <f t="shared" si="2"/>
        <v>0.78539816339744828</v>
      </c>
      <c r="T44">
        <f t="shared" si="2"/>
        <v>0.78539816339744828</v>
      </c>
      <c r="U44">
        <f t="shared" si="2"/>
        <v>0.78539816339744828</v>
      </c>
      <c r="V44">
        <f t="shared" si="2"/>
        <v>0.78539816339744828</v>
      </c>
      <c r="W44">
        <f t="shared" si="2"/>
        <v>0.78539816339744828</v>
      </c>
      <c r="X44">
        <f t="shared" si="2"/>
        <v>0.78539816339744828</v>
      </c>
      <c r="Y44">
        <f t="shared" si="2"/>
        <v>0.78539816339744828</v>
      </c>
      <c r="Z44">
        <f t="shared" si="2"/>
        <v>0.78539816339744828</v>
      </c>
      <c r="AA44">
        <f t="shared" si="2"/>
        <v>0.78539816339744828</v>
      </c>
      <c r="AB44">
        <f t="shared" si="2"/>
        <v>0.78539816339744828</v>
      </c>
    </row>
    <row r="45" spans="1:28" x14ac:dyDescent="0.3">
      <c r="A45" s="3" t="s">
        <v>10</v>
      </c>
      <c r="N45">
        <f t="shared" si="1"/>
        <v>50000</v>
      </c>
      <c r="O45">
        <f t="shared" ref="O45:AB63" si="7">PI()/4</f>
        <v>0.78539816339744828</v>
      </c>
      <c r="P45">
        <f t="shared" si="7"/>
        <v>0.78539816339744828</v>
      </c>
      <c r="Q45">
        <f t="shared" si="7"/>
        <v>0.78539816339744828</v>
      </c>
      <c r="R45">
        <f t="shared" si="7"/>
        <v>0.78539816339744828</v>
      </c>
      <c r="S45">
        <f t="shared" si="7"/>
        <v>0.78539816339744828</v>
      </c>
      <c r="T45">
        <f t="shared" si="7"/>
        <v>0.78539816339744828</v>
      </c>
      <c r="U45">
        <f t="shared" si="7"/>
        <v>0.78539816339744828</v>
      </c>
      <c r="V45">
        <f t="shared" si="7"/>
        <v>0.78539816339744828</v>
      </c>
      <c r="W45">
        <f t="shared" si="7"/>
        <v>0.78539816339744828</v>
      </c>
      <c r="X45">
        <f t="shared" si="7"/>
        <v>0.78539816339744828</v>
      </c>
      <c r="Y45">
        <f t="shared" si="7"/>
        <v>0.78539816339744828</v>
      </c>
      <c r="Z45">
        <f t="shared" si="7"/>
        <v>0.78539816339744828</v>
      </c>
      <c r="AA45">
        <f t="shared" si="7"/>
        <v>0.78539816339744828</v>
      </c>
      <c r="AB45">
        <f t="shared" si="7"/>
        <v>0.78539816339744828</v>
      </c>
    </row>
    <row r="46" spans="1:28" x14ac:dyDescent="0.3">
      <c r="A46" s="1" t="s">
        <v>13</v>
      </c>
      <c r="B46">
        <f t="shared" ref="B46:J46" si="8">O42*B31^2*B34</f>
        <v>1.5707963267948966</v>
      </c>
      <c r="C46">
        <f t="shared" si="8"/>
        <v>0</v>
      </c>
      <c r="D46">
        <f t="shared" si="8"/>
        <v>7.0685834705770345</v>
      </c>
      <c r="E46">
        <f t="shared" si="8"/>
        <v>0</v>
      </c>
      <c r="F46">
        <f t="shared" si="8"/>
        <v>0</v>
      </c>
      <c r="G46">
        <f t="shared" si="8"/>
        <v>0</v>
      </c>
      <c r="H46">
        <f t="shared" si="8"/>
        <v>0</v>
      </c>
      <c r="I46">
        <f t="shared" si="8"/>
        <v>0</v>
      </c>
      <c r="J46">
        <f t="shared" si="8"/>
        <v>0</v>
      </c>
      <c r="K46">
        <f>SUM(B46:J46)</f>
        <v>8.6393797973719302</v>
      </c>
      <c r="L46">
        <f t="shared" ref="L46" si="9">K46/N42</f>
        <v>1.727875959474386E-4</v>
      </c>
      <c r="N46">
        <f t="shared" si="1"/>
        <v>50000</v>
      </c>
      <c r="O46">
        <f t="shared" si="7"/>
        <v>0.78539816339744828</v>
      </c>
      <c r="P46">
        <f t="shared" si="7"/>
        <v>0.78539816339744828</v>
      </c>
      <c r="Q46">
        <f t="shared" si="7"/>
        <v>0.78539816339744828</v>
      </c>
      <c r="R46">
        <f t="shared" si="7"/>
        <v>0.78539816339744828</v>
      </c>
      <c r="S46">
        <f t="shared" si="7"/>
        <v>0.78539816339744828</v>
      </c>
      <c r="T46">
        <f t="shared" si="7"/>
        <v>0.78539816339744828</v>
      </c>
      <c r="U46">
        <f t="shared" si="7"/>
        <v>0.78539816339744828</v>
      </c>
      <c r="V46">
        <f t="shared" si="7"/>
        <v>0.78539816339744828</v>
      </c>
      <c r="W46">
        <f t="shared" si="7"/>
        <v>0.78539816339744828</v>
      </c>
      <c r="X46">
        <f t="shared" si="7"/>
        <v>0.78539816339744828</v>
      </c>
      <c r="Y46">
        <f t="shared" si="7"/>
        <v>0.78539816339744828</v>
      </c>
      <c r="Z46">
        <f t="shared" si="7"/>
        <v>0.78539816339744828</v>
      </c>
      <c r="AA46">
        <f t="shared" si="7"/>
        <v>0.78539816339744828</v>
      </c>
      <c r="AB46">
        <f t="shared" si="7"/>
        <v>0.78539816339744828</v>
      </c>
    </row>
    <row r="47" spans="1:28" x14ac:dyDescent="0.3">
      <c r="N47">
        <f t="shared" si="1"/>
        <v>50000</v>
      </c>
      <c r="O47">
        <f t="shared" si="7"/>
        <v>0.78539816339744828</v>
      </c>
      <c r="P47">
        <f t="shared" si="7"/>
        <v>0.78539816339744828</v>
      </c>
      <c r="Q47">
        <f t="shared" si="7"/>
        <v>0.78539816339744828</v>
      </c>
      <c r="R47">
        <f t="shared" si="7"/>
        <v>0.78539816339744828</v>
      </c>
      <c r="S47">
        <f t="shared" si="7"/>
        <v>0.78539816339744828</v>
      </c>
      <c r="T47">
        <f t="shared" si="7"/>
        <v>0.78539816339744828</v>
      </c>
      <c r="U47">
        <f t="shared" si="7"/>
        <v>0.78539816339744828</v>
      </c>
      <c r="V47">
        <f t="shared" si="7"/>
        <v>0.78539816339744828</v>
      </c>
      <c r="W47">
        <f t="shared" si="7"/>
        <v>0.78539816339744828</v>
      </c>
      <c r="X47">
        <f t="shared" si="7"/>
        <v>0.78539816339744828</v>
      </c>
      <c r="Y47">
        <f t="shared" si="7"/>
        <v>0.78539816339744828</v>
      </c>
      <c r="Z47">
        <f t="shared" si="7"/>
        <v>0.78539816339744828</v>
      </c>
      <c r="AA47">
        <f t="shared" si="7"/>
        <v>0.78539816339744828</v>
      </c>
      <c r="AB47">
        <f t="shared" si="7"/>
        <v>0.78539816339744828</v>
      </c>
    </row>
    <row r="48" spans="1:28" x14ac:dyDescent="0.3">
      <c r="A48" s="3" t="s">
        <v>11</v>
      </c>
      <c r="N48">
        <f t="shared" si="1"/>
        <v>50000</v>
      </c>
      <c r="O48">
        <f t="shared" si="7"/>
        <v>0.78539816339744828</v>
      </c>
      <c r="P48">
        <f t="shared" si="7"/>
        <v>0.78539816339744828</v>
      </c>
      <c r="Q48">
        <f t="shared" si="7"/>
        <v>0.78539816339744828</v>
      </c>
      <c r="R48">
        <f t="shared" si="7"/>
        <v>0.78539816339744828</v>
      </c>
      <c r="S48">
        <f t="shared" si="7"/>
        <v>0.78539816339744828</v>
      </c>
      <c r="T48">
        <f t="shared" si="7"/>
        <v>0.78539816339744828</v>
      </c>
      <c r="U48">
        <f t="shared" si="7"/>
        <v>0.78539816339744828</v>
      </c>
      <c r="V48">
        <f t="shared" si="7"/>
        <v>0.78539816339744828</v>
      </c>
      <c r="W48">
        <f t="shared" si="7"/>
        <v>0.78539816339744828</v>
      </c>
      <c r="X48">
        <f t="shared" si="7"/>
        <v>0.78539816339744828</v>
      </c>
      <c r="Y48">
        <f t="shared" si="7"/>
        <v>0.78539816339744828</v>
      </c>
      <c r="Z48">
        <f t="shared" si="7"/>
        <v>0.78539816339744828</v>
      </c>
      <c r="AA48">
        <f t="shared" si="7"/>
        <v>0.78539816339744828</v>
      </c>
      <c r="AB48">
        <f t="shared" si="7"/>
        <v>0.78539816339744828</v>
      </c>
    </row>
    <row r="49" spans="1:28" x14ac:dyDescent="0.3">
      <c r="A49" s="1" t="s">
        <v>13</v>
      </c>
      <c r="B49">
        <f t="shared" ref="B49:J49" si="10">O45*B31^2*B35</f>
        <v>0.78539816339744828</v>
      </c>
      <c r="C49">
        <f t="shared" si="10"/>
        <v>0</v>
      </c>
      <c r="D49">
        <f t="shared" si="10"/>
        <v>0</v>
      </c>
      <c r="E49">
        <f t="shared" si="10"/>
        <v>0</v>
      </c>
      <c r="F49">
        <f t="shared" si="10"/>
        <v>0</v>
      </c>
      <c r="G49">
        <f t="shared" si="10"/>
        <v>0</v>
      </c>
      <c r="H49">
        <f t="shared" si="10"/>
        <v>0</v>
      </c>
      <c r="I49">
        <f t="shared" si="10"/>
        <v>0</v>
      </c>
      <c r="J49">
        <f t="shared" si="10"/>
        <v>0</v>
      </c>
      <c r="K49">
        <f>SUM(B49:J49)</f>
        <v>0.78539816339744828</v>
      </c>
      <c r="L49" s="7">
        <f t="shared" ref="L49" si="11">K49/N45</f>
        <v>1.5707963267948964E-5</v>
      </c>
      <c r="N49">
        <f t="shared" si="1"/>
        <v>50000</v>
      </c>
      <c r="O49">
        <f t="shared" si="7"/>
        <v>0.78539816339744828</v>
      </c>
      <c r="P49">
        <f t="shared" si="7"/>
        <v>0.78539816339744828</v>
      </c>
      <c r="Q49">
        <f t="shared" si="7"/>
        <v>0.78539816339744828</v>
      </c>
      <c r="R49">
        <f t="shared" si="7"/>
        <v>0.78539816339744828</v>
      </c>
      <c r="S49">
        <f t="shared" si="7"/>
        <v>0.78539816339744828</v>
      </c>
      <c r="T49">
        <f t="shared" si="7"/>
        <v>0.78539816339744828</v>
      </c>
      <c r="U49">
        <f t="shared" si="7"/>
        <v>0.78539816339744828</v>
      </c>
      <c r="V49">
        <f t="shared" si="7"/>
        <v>0.78539816339744828</v>
      </c>
      <c r="W49">
        <f t="shared" si="7"/>
        <v>0.78539816339744828</v>
      </c>
      <c r="X49">
        <f t="shared" si="7"/>
        <v>0.78539816339744828</v>
      </c>
      <c r="Y49">
        <f t="shared" si="7"/>
        <v>0.78539816339744828</v>
      </c>
      <c r="Z49">
        <f t="shared" si="7"/>
        <v>0.78539816339744828</v>
      </c>
      <c r="AA49">
        <f t="shared" si="7"/>
        <v>0.78539816339744828</v>
      </c>
      <c r="AB49">
        <f t="shared" si="7"/>
        <v>0.78539816339744828</v>
      </c>
    </row>
    <row r="50" spans="1:28" x14ac:dyDescent="0.3">
      <c r="N50">
        <f t="shared" si="1"/>
        <v>50000</v>
      </c>
      <c r="O50">
        <f t="shared" si="7"/>
        <v>0.78539816339744828</v>
      </c>
      <c r="P50">
        <f t="shared" si="7"/>
        <v>0.78539816339744828</v>
      </c>
      <c r="Q50">
        <f t="shared" si="7"/>
        <v>0.78539816339744828</v>
      </c>
      <c r="R50">
        <f t="shared" si="7"/>
        <v>0.78539816339744828</v>
      </c>
      <c r="S50">
        <f t="shared" si="7"/>
        <v>0.78539816339744828</v>
      </c>
      <c r="T50">
        <f t="shared" si="7"/>
        <v>0.78539816339744828</v>
      </c>
      <c r="U50">
        <f t="shared" si="7"/>
        <v>0.78539816339744828</v>
      </c>
      <c r="V50">
        <f t="shared" si="7"/>
        <v>0.78539816339744828</v>
      </c>
      <c r="W50">
        <f t="shared" si="7"/>
        <v>0.78539816339744828</v>
      </c>
      <c r="X50">
        <f t="shared" si="7"/>
        <v>0.78539816339744828</v>
      </c>
      <c r="Y50">
        <f t="shared" si="7"/>
        <v>0.78539816339744828</v>
      </c>
      <c r="Z50">
        <f t="shared" si="7"/>
        <v>0.78539816339744828</v>
      </c>
      <c r="AA50">
        <f t="shared" si="7"/>
        <v>0.78539816339744828</v>
      </c>
      <c r="AB50">
        <f t="shared" si="7"/>
        <v>0.78539816339744828</v>
      </c>
    </row>
    <row r="51" spans="1:28" x14ac:dyDescent="0.3">
      <c r="A51" s="3" t="s">
        <v>12</v>
      </c>
      <c r="N51">
        <f t="shared" si="1"/>
        <v>50000</v>
      </c>
      <c r="O51">
        <f t="shared" si="7"/>
        <v>0.78539816339744828</v>
      </c>
      <c r="P51">
        <f t="shared" si="7"/>
        <v>0.78539816339744828</v>
      </c>
      <c r="Q51">
        <f t="shared" si="7"/>
        <v>0.78539816339744828</v>
      </c>
      <c r="R51">
        <f t="shared" si="7"/>
        <v>0.78539816339744828</v>
      </c>
      <c r="S51">
        <f t="shared" si="7"/>
        <v>0.78539816339744828</v>
      </c>
      <c r="T51">
        <f t="shared" si="7"/>
        <v>0.78539816339744828</v>
      </c>
      <c r="U51">
        <f t="shared" si="7"/>
        <v>0.78539816339744828</v>
      </c>
      <c r="V51">
        <f t="shared" si="7"/>
        <v>0.78539816339744828</v>
      </c>
      <c r="W51">
        <f t="shared" si="7"/>
        <v>0.78539816339744828</v>
      </c>
      <c r="X51">
        <f t="shared" si="7"/>
        <v>0.78539816339744828</v>
      </c>
      <c r="Y51">
        <f t="shared" si="7"/>
        <v>0.78539816339744828</v>
      </c>
      <c r="Z51">
        <f t="shared" si="7"/>
        <v>0.78539816339744828</v>
      </c>
      <c r="AA51">
        <f t="shared" si="7"/>
        <v>0.78539816339744828</v>
      </c>
      <c r="AB51">
        <f t="shared" si="7"/>
        <v>0.78539816339744828</v>
      </c>
    </row>
    <row r="52" spans="1:28" x14ac:dyDescent="0.3">
      <c r="A52" s="1" t="s">
        <v>13</v>
      </c>
      <c r="B52">
        <f t="shared" ref="B52:J52" si="12">O48*B31^2*B36</f>
        <v>0</v>
      </c>
      <c r="C52">
        <f t="shared" si="12"/>
        <v>0</v>
      </c>
      <c r="D52">
        <f t="shared" si="12"/>
        <v>0</v>
      </c>
      <c r="E52">
        <f t="shared" si="12"/>
        <v>0</v>
      </c>
      <c r="F52">
        <f t="shared" si="12"/>
        <v>0</v>
      </c>
      <c r="G52">
        <f t="shared" si="12"/>
        <v>0</v>
      </c>
      <c r="H52">
        <f t="shared" si="12"/>
        <v>0</v>
      </c>
      <c r="I52">
        <f t="shared" si="12"/>
        <v>0</v>
      </c>
      <c r="J52">
        <f t="shared" si="12"/>
        <v>0</v>
      </c>
      <c r="K52">
        <f>SUM(B52:J52)</f>
        <v>0</v>
      </c>
      <c r="L52">
        <f t="shared" ref="L52" si="13">K52/N48</f>
        <v>0</v>
      </c>
      <c r="N52">
        <f t="shared" si="1"/>
        <v>50000</v>
      </c>
      <c r="O52">
        <f t="shared" si="7"/>
        <v>0.78539816339744828</v>
      </c>
      <c r="P52">
        <f t="shared" si="7"/>
        <v>0.78539816339744828</v>
      </c>
      <c r="Q52">
        <f t="shared" si="7"/>
        <v>0.78539816339744828</v>
      </c>
      <c r="R52">
        <f t="shared" si="7"/>
        <v>0.78539816339744828</v>
      </c>
      <c r="S52">
        <f t="shared" si="7"/>
        <v>0.78539816339744828</v>
      </c>
      <c r="T52">
        <f t="shared" si="7"/>
        <v>0.78539816339744828</v>
      </c>
      <c r="U52">
        <f t="shared" si="7"/>
        <v>0.78539816339744828</v>
      </c>
      <c r="V52">
        <f t="shared" si="7"/>
        <v>0.78539816339744828</v>
      </c>
      <c r="W52">
        <f t="shared" si="7"/>
        <v>0.78539816339744828</v>
      </c>
      <c r="X52">
        <f t="shared" si="7"/>
        <v>0.78539816339744828</v>
      </c>
      <c r="Y52">
        <f t="shared" si="7"/>
        <v>0.78539816339744828</v>
      </c>
      <c r="Z52">
        <f t="shared" si="7"/>
        <v>0.78539816339744828</v>
      </c>
      <c r="AA52">
        <f t="shared" si="7"/>
        <v>0.78539816339744828</v>
      </c>
      <c r="AB52">
        <f t="shared" si="7"/>
        <v>0.78539816339744828</v>
      </c>
    </row>
    <row r="53" spans="1:28" x14ac:dyDescent="0.3">
      <c r="N53">
        <f t="shared" si="1"/>
        <v>50000</v>
      </c>
      <c r="O53">
        <f t="shared" si="7"/>
        <v>0.78539816339744828</v>
      </c>
      <c r="P53">
        <f t="shared" si="7"/>
        <v>0.78539816339744828</v>
      </c>
      <c r="Q53">
        <f t="shared" si="7"/>
        <v>0.78539816339744828</v>
      </c>
      <c r="R53">
        <f t="shared" si="7"/>
        <v>0.78539816339744828</v>
      </c>
      <c r="S53">
        <f t="shared" si="7"/>
        <v>0.78539816339744828</v>
      </c>
      <c r="T53">
        <f t="shared" si="7"/>
        <v>0.78539816339744828</v>
      </c>
      <c r="U53">
        <f t="shared" si="7"/>
        <v>0.78539816339744828</v>
      </c>
      <c r="V53">
        <f t="shared" si="7"/>
        <v>0.78539816339744828</v>
      </c>
      <c r="W53">
        <f t="shared" si="7"/>
        <v>0.78539816339744828</v>
      </c>
      <c r="X53">
        <f t="shared" si="7"/>
        <v>0.78539816339744828</v>
      </c>
      <c r="Y53">
        <f t="shared" si="7"/>
        <v>0.78539816339744828</v>
      </c>
      <c r="Z53">
        <f t="shared" si="7"/>
        <v>0.78539816339744828</v>
      </c>
      <c r="AA53">
        <f t="shared" si="7"/>
        <v>0.78539816339744828</v>
      </c>
      <c r="AB53">
        <f t="shared" si="7"/>
        <v>0.78539816339744828</v>
      </c>
    </row>
    <row r="54" spans="1:28" x14ac:dyDescent="0.3">
      <c r="N54">
        <f t="shared" si="1"/>
        <v>50000</v>
      </c>
      <c r="O54">
        <f t="shared" si="7"/>
        <v>0.78539816339744828</v>
      </c>
      <c r="P54">
        <f t="shared" si="7"/>
        <v>0.78539816339744828</v>
      </c>
      <c r="Q54">
        <f t="shared" si="7"/>
        <v>0.78539816339744828</v>
      </c>
      <c r="R54">
        <f t="shared" si="7"/>
        <v>0.78539816339744828</v>
      </c>
      <c r="S54">
        <f t="shared" si="7"/>
        <v>0.78539816339744828</v>
      </c>
      <c r="T54">
        <f t="shared" si="7"/>
        <v>0.78539816339744828</v>
      </c>
      <c r="U54">
        <f t="shared" si="7"/>
        <v>0.78539816339744828</v>
      </c>
      <c r="V54">
        <f t="shared" si="7"/>
        <v>0.78539816339744828</v>
      </c>
      <c r="W54">
        <f t="shared" si="7"/>
        <v>0.78539816339744828</v>
      </c>
      <c r="X54">
        <f t="shared" si="7"/>
        <v>0.78539816339744828</v>
      </c>
      <c r="Y54">
        <f t="shared" si="7"/>
        <v>0.78539816339744828</v>
      </c>
      <c r="Z54">
        <f t="shared" si="7"/>
        <v>0.78539816339744828</v>
      </c>
      <c r="AA54">
        <f t="shared" si="7"/>
        <v>0.78539816339744828</v>
      </c>
      <c r="AB54">
        <f t="shared" si="7"/>
        <v>0.78539816339744828</v>
      </c>
    </row>
    <row r="55" spans="1:28" x14ac:dyDescent="0.3">
      <c r="A55" s="1" t="s">
        <v>18</v>
      </c>
      <c r="N55">
        <f t="shared" si="1"/>
        <v>50000</v>
      </c>
      <c r="O55">
        <f t="shared" si="7"/>
        <v>0.78539816339744828</v>
      </c>
      <c r="P55">
        <f t="shared" si="7"/>
        <v>0.78539816339744828</v>
      </c>
      <c r="Q55">
        <f t="shared" si="7"/>
        <v>0.78539816339744828</v>
      </c>
      <c r="R55">
        <f t="shared" si="7"/>
        <v>0.78539816339744828</v>
      </c>
      <c r="S55">
        <f t="shared" si="7"/>
        <v>0.78539816339744828</v>
      </c>
      <c r="T55">
        <f t="shared" si="7"/>
        <v>0.78539816339744828</v>
      </c>
      <c r="U55">
        <f t="shared" si="7"/>
        <v>0.78539816339744828</v>
      </c>
      <c r="V55">
        <f t="shared" si="7"/>
        <v>0.78539816339744828</v>
      </c>
      <c r="W55">
        <f t="shared" si="7"/>
        <v>0.78539816339744828</v>
      </c>
      <c r="X55">
        <f t="shared" si="7"/>
        <v>0.78539816339744828</v>
      </c>
      <c r="Y55">
        <f t="shared" si="7"/>
        <v>0.78539816339744828</v>
      </c>
      <c r="Z55">
        <f t="shared" si="7"/>
        <v>0.78539816339744828</v>
      </c>
      <c r="AA55">
        <f t="shared" si="7"/>
        <v>0.78539816339744828</v>
      </c>
      <c r="AB55">
        <f t="shared" si="7"/>
        <v>0.78539816339744828</v>
      </c>
    </row>
    <row r="56" spans="1:28" x14ac:dyDescent="0.3">
      <c r="L56" t="s">
        <v>20</v>
      </c>
      <c r="M56" t="s">
        <v>21</v>
      </c>
      <c r="N56">
        <f t="shared" si="1"/>
        <v>50000</v>
      </c>
      <c r="O56">
        <f t="shared" si="7"/>
        <v>0.78539816339744828</v>
      </c>
      <c r="P56">
        <f t="shared" si="7"/>
        <v>0.78539816339744828</v>
      </c>
      <c r="Q56">
        <f t="shared" si="7"/>
        <v>0.78539816339744828</v>
      </c>
      <c r="R56">
        <f t="shared" si="7"/>
        <v>0.78539816339744828</v>
      </c>
      <c r="S56">
        <f t="shared" si="7"/>
        <v>0.78539816339744828</v>
      </c>
      <c r="T56">
        <f t="shared" si="7"/>
        <v>0.78539816339744828</v>
      </c>
      <c r="U56">
        <f t="shared" si="7"/>
        <v>0.78539816339744828</v>
      </c>
      <c r="V56">
        <f t="shared" si="7"/>
        <v>0.78539816339744828</v>
      </c>
      <c r="W56">
        <f t="shared" si="7"/>
        <v>0.78539816339744828</v>
      </c>
      <c r="X56">
        <f t="shared" si="7"/>
        <v>0.78539816339744828</v>
      </c>
      <c r="Y56">
        <f t="shared" si="7"/>
        <v>0.78539816339744828</v>
      </c>
      <c r="Z56">
        <f t="shared" si="7"/>
        <v>0.78539816339744828</v>
      </c>
      <c r="AA56">
        <f t="shared" si="7"/>
        <v>0.78539816339744828</v>
      </c>
      <c r="AB56">
        <f t="shared" si="7"/>
        <v>0.78539816339744828</v>
      </c>
    </row>
    <row r="57" spans="1:28" x14ac:dyDescent="0.3">
      <c r="A57" s="4"/>
      <c r="B57" s="13" t="s">
        <v>7</v>
      </c>
      <c r="C57" s="13"/>
      <c r="D57" s="13"/>
      <c r="E57" s="13"/>
      <c r="F57" s="13"/>
      <c r="G57" s="13"/>
      <c r="H57" s="13"/>
      <c r="I57" s="13"/>
      <c r="J57" s="13"/>
      <c r="L57">
        <f>0.000816814089933346*100</f>
        <v>8.1681408993334606E-2</v>
      </c>
      <c r="M57" s="3">
        <v>5</v>
      </c>
      <c r="N57">
        <f t="shared" si="1"/>
        <v>50000</v>
      </c>
      <c r="O57">
        <f t="shared" si="7"/>
        <v>0.78539816339744828</v>
      </c>
      <c r="P57">
        <f t="shared" si="7"/>
        <v>0.78539816339744828</v>
      </c>
      <c r="Q57">
        <f t="shared" si="7"/>
        <v>0.78539816339744828</v>
      </c>
      <c r="R57">
        <f t="shared" si="7"/>
        <v>0.78539816339744828</v>
      </c>
      <c r="S57">
        <f t="shared" si="7"/>
        <v>0.78539816339744828</v>
      </c>
      <c r="T57">
        <f t="shared" si="7"/>
        <v>0.78539816339744828</v>
      </c>
      <c r="U57">
        <f t="shared" si="7"/>
        <v>0.78539816339744828</v>
      </c>
      <c r="V57">
        <f t="shared" si="7"/>
        <v>0.78539816339744828</v>
      </c>
      <c r="W57">
        <f t="shared" si="7"/>
        <v>0.78539816339744828</v>
      </c>
      <c r="X57">
        <f t="shared" si="7"/>
        <v>0.78539816339744828</v>
      </c>
      <c r="Y57">
        <f t="shared" si="7"/>
        <v>0.78539816339744828</v>
      </c>
      <c r="Z57">
        <f t="shared" si="7"/>
        <v>0.78539816339744828</v>
      </c>
      <c r="AA57">
        <f t="shared" si="7"/>
        <v>0.78539816339744828</v>
      </c>
      <c r="AB57">
        <f t="shared" si="7"/>
        <v>0.78539816339744828</v>
      </c>
    </row>
    <row r="58" spans="1:28" x14ac:dyDescent="0.3">
      <c r="A58" s="2" t="s">
        <v>1</v>
      </c>
      <c r="B58" s="1">
        <v>1</v>
      </c>
      <c r="C58" s="1">
        <v>2</v>
      </c>
      <c r="D58" s="1">
        <v>3</v>
      </c>
      <c r="E58" s="1">
        <v>4</v>
      </c>
      <c r="F58" s="1">
        <v>5</v>
      </c>
      <c r="G58" s="1">
        <v>6</v>
      </c>
      <c r="H58" s="1">
        <v>7</v>
      </c>
      <c r="I58" s="1">
        <v>8</v>
      </c>
      <c r="J58" s="1">
        <v>9</v>
      </c>
      <c r="K58" s="1"/>
      <c r="L58">
        <f>0.00197920337176157*100</f>
        <v>0.19792033717615701</v>
      </c>
      <c r="M58" s="8" t="s">
        <v>19</v>
      </c>
      <c r="N58">
        <f t="shared" si="1"/>
        <v>50000</v>
      </c>
      <c r="O58">
        <f t="shared" si="7"/>
        <v>0.78539816339744828</v>
      </c>
      <c r="P58">
        <f t="shared" si="7"/>
        <v>0.78539816339744828</v>
      </c>
      <c r="Q58">
        <f t="shared" si="7"/>
        <v>0.78539816339744828</v>
      </c>
      <c r="R58">
        <f t="shared" si="7"/>
        <v>0.78539816339744828</v>
      </c>
      <c r="S58">
        <f t="shared" si="7"/>
        <v>0.78539816339744828</v>
      </c>
      <c r="T58">
        <f t="shared" si="7"/>
        <v>0.78539816339744828</v>
      </c>
      <c r="U58">
        <f t="shared" si="7"/>
        <v>0.78539816339744828</v>
      </c>
      <c r="V58">
        <f t="shared" si="7"/>
        <v>0.78539816339744828</v>
      </c>
      <c r="W58">
        <f t="shared" si="7"/>
        <v>0.78539816339744828</v>
      </c>
      <c r="X58">
        <f t="shared" si="7"/>
        <v>0.78539816339744828</v>
      </c>
      <c r="Y58">
        <f t="shared" si="7"/>
        <v>0.78539816339744828</v>
      </c>
      <c r="Z58">
        <f t="shared" si="7"/>
        <v>0.78539816339744828</v>
      </c>
      <c r="AA58">
        <f t="shared" si="7"/>
        <v>0.78539816339744828</v>
      </c>
      <c r="AB58">
        <f t="shared" si="7"/>
        <v>0.78539816339744828</v>
      </c>
    </row>
    <row r="59" spans="1:28" x14ac:dyDescent="0.3">
      <c r="A59" s="3" t="s">
        <v>2</v>
      </c>
      <c r="B59">
        <v>3</v>
      </c>
      <c r="C59">
        <v>1</v>
      </c>
      <c r="D59">
        <v>1</v>
      </c>
      <c r="E59">
        <v>0</v>
      </c>
      <c r="F59">
        <v>0</v>
      </c>
      <c r="G59">
        <v>1</v>
      </c>
      <c r="H59">
        <v>0</v>
      </c>
      <c r="I59">
        <v>0</v>
      </c>
      <c r="J59">
        <v>0</v>
      </c>
      <c r="L59">
        <f>0.00205774318810131*100</f>
        <v>0.205774318810131</v>
      </c>
      <c r="M59" s="3">
        <v>25</v>
      </c>
      <c r="N59">
        <f t="shared" si="1"/>
        <v>50000</v>
      </c>
      <c r="O59">
        <f t="shared" si="7"/>
        <v>0.78539816339744828</v>
      </c>
      <c r="P59">
        <f t="shared" si="7"/>
        <v>0.78539816339744828</v>
      </c>
      <c r="Q59">
        <f t="shared" si="7"/>
        <v>0.78539816339744828</v>
      </c>
      <c r="R59">
        <f t="shared" si="7"/>
        <v>0.78539816339744828</v>
      </c>
      <c r="S59">
        <f t="shared" si="7"/>
        <v>0.78539816339744828</v>
      </c>
      <c r="T59">
        <f t="shared" si="7"/>
        <v>0.78539816339744828</v>
      </c>
      <c r="U59">
        <f t="shared" si="7"/>
        <v>0.78539816339744828</v>
      </c>
      <c r="V59">
        <f t="shared" si="7"/>
        <v>0.78539816339744828</v>
      </c>
      <c r="W59">
        <f t="shared" si="7"/>
        <v>0.78539816339744828</v>
      </c>
      <c r="X59">
        <f t="shared" si="7"/>
        <v>0.78539816339744828</v>
      </c>
      <c r="Y59">
        <f t="shared" si="7"/>
        <v>0.78539816339744828</v>
      </c>
      <c r="Z59">
        <f t="shared" si="7"/>
        <v>0.78539816339744828</v>
      </c>
      <c r="AA59">
        <f t="shared" si="7"/>
        <v>0.78539816339744828</v>
      </c>
      <c r="AB59">
        <f t="shared" si="7"/>
        <v>0.78539816339744828</v>
      </c>
    </row>
    <row r="60" spans="1:28" x14ac:dyDescent="0.3">
      <c r="A60" s="6" t="s">
        <v>4</v>
      </c>
      <c r="B60">
        <v>10</v>
      </c>
      <c r="C60">
        <v>7</v>
      </c>
      <c r="D60">
        <v>3</v>
      </c>
      <c r="E60">
        <v>0</v>
      </c>
      <c r="F60">
        <v>1</v>
      </c>
      <c r="G60">
        <v>1</v>
      </c>
      <c r="H60">
        <v>0</v>
      </c>
      <c r="I60">
        <v>0</v>
      </c>
      <c r="J60">
        <v>0</v>
      </c>
      <c r="L60" s="7">
        <f>0.000644026493985908*100</f>
        <v>6.4402649398590792E-2</v>
      </c>
      <c r="M60" s="3">
        <v>35</v>
      </c>
      <c r="N60">
        <f t="shared" si="1"/>
        <v>50000</v>
      </c>
      <c r="O60">
        <f t="shared" si="7"/>
        <v>0.78539816339744828</v>
      </c>
      <c r="P60">
        <f t="shared" si="7"/>
        <v>0.78539816339744828</v>
      </c>
      <c r="Q60">
        <f t="shared" si="7"/>
        <v>0.78539816339744828</v>
      </c>
      <c r="R60">
        <f t="shared" si="7"/>
        <v>0.78539816339744828</v>
      </c>
      <c r="S60">
        <f t="shared" si="7"/>
        <v>0.78539816339744828</v>
      </c>
      <c r="T60">
        <f t="shared" si="7"/>
        <v>0.78539816339744828</v>
      </c>
      <c r="U60">
        <f t="shared" si="7"/>
        <v>0.78539816339744828</v>
      </c>
      <c r="V60">
        <f t="shared" si="7"/>
        <v>0.78539816339744828</v>
      </c>
      <c r="W60">
        <f t="shared" si="7"/>
        <v>0.78539816339744828</v>
      </c>
      <c r="X60">
        <f t="shared" si="7"/>
        <v>0.78539816339744828</v>
      </c>
      <c r="Y60">
        <f t="shared" si="7"/>
        <v>0.78539816339744828</v>
      </c>
      <c r="Z60">
        <f t="shared" si="7"/>
        <v>0.78539816339744828</v>
      </c>
      <c r="AA60">
        <f t="shared" si="7"/>
        <v>0.78539816339744828</v>
      </c>
      <c r="AB60">
        <f t="shared" si="7"/>
        <v>0.78539816339744828</v>
      </c>
    </row>
    <row r="61" spans="1:28" x14ac:dyDescent="0.3">
      <c r="A61" s="3" t="s">
        <v>3</v>
      </c>
      <c r="B61">
        <v>16</v>
      </c>
      <c r="C61">
        <v>6</v>
      </c>
      <c r="D61">
        <v>0</v>
      </c>
      <c r="E61">
        <v>1</v>
      </c>
      <c r="F61">
        <v>3</v>
      </c>
      <c r="G61">
        <v>0</v>
      </c>
      <c r="H61">
        <v>0</v>
      </c>
      <c r="I61">
        <v>0</v>
      </c>
      <c r="J61">
        <v>0</v>
      </c>
      <c r="L61">
        <f>0.000361283155162826*100</f>
        <v>3.6128315516282601E-2</v>
      </c>
      <c r="M61" s="3">
        <v>45</v>
      </c>
      <c r="N61">
        <f t="shared" si="1"/>
        <v>50000</v>
      </c>
      <c r="O61">
        <f t="shared" si="7"/>
        <v>0.78539816339744828</v>
      </c>
      <c r="P61">
        <f t="shared" si="7"/>
        <v>0.78539816339744828</v>
      </c>
      <c r="Q61">
        <f t="shared" si="7"/>
        <v>0.78539816339744828</v>
      </c>
      <c r="R61">
        <f t="shared" si="7"/>
        <v>0.78539816339744828</v>
      </c>
      <c r="S61">
        <f t="shared" si="7"/>
        <v>0.78539816339744828</v>
      </c>
      <c r="T61">
        <f t="shared" si="7"/>
        <v>0.78539816339744828</v>
      </c>
      <c r="U61">
        <f t="shared" si="7"/>
        <v>0.78539816339744828</v>
      </c>
      <c r="V61">
        <f t="shared" si="7"/>
        <v>0.78539816339744828</v>
      </c>
      <c r="W61">
        <f t="shared" si="7"/>
        <v>0.78539816339744828</v>
      </c>
      <c r="X61">
        <f t="shared" si="7"/>
        <v>0.78539816339744828</v>
      </c>
      <c r="Y61">
        <f t="shared" si="7"/>
        <v>0.78539816339744828</v>
      </c>
      <c r="Z61">
        <f t="shared" si="7"/>
        <v>0.78539816339744828</v>
      </c>
      <c r="AA61">
        <f t="shared" si="7"/>
        <v>0.78539816339744828</v>
      </c>
      <c r="AB61">
        <f t="shared" si="7"/>
        <v>0.78539816339744828</v>
      </c>
    </row>
    <row r="62" spans="1:28" x14ac:dyDescent="0.3">
      <c r="A62" s="3" t="s">
        <v>5</v>
      </c>
      <c r="B62">
        <v>7</v>
      </c>
      <c r="C62">
        <v>4</v>
      </c>
      <c r="D62">
        <v>2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N62">
        <f t="shared" si="1"/>
        <v>50000</v>
      </c>
      <c r="O62">
        <f t="shared" si="7"/>
        <v>0.78539816339744828</v>
      </c>
      <c r="P62">
        <f t="shared" si="7"/>
        <v>0.78539816339744828</v>
      </c>
      <c r="Q62">
        <f t="shared" si="7"/>
        <v>0.78539816339744828</v>
      </c>
      <c r="R62">
        <f t="shared" si="7"/>
        <v>0.78539816339744828</v>
      </c>
      <c r="S62">
        <f t="shared" si="7"/>
        <v>0.78539816339744828</v>
      </c>
      <c r="T62">
        <f t="shared" si="7"/>
        <v>0.78539816339744828</v>
      </c>
      <c r="U62">
        <f t="shared" si="7"/>
        <v>0.78539816339744828</v>
      </c>
      <c r="V62">
        <f t="shared" si="7"/>
        <v>0.78539816339744828</v>
      </c>
      <c r="W62">
        <f t="shared" si="7"/>
        <v>0.78539816339744828</v>
      </c>
      <c r="X62">
        <f t="shared" si="7"/>
        <v>0.78539816339744828</v>
      </c>
      <c r="Y62">
        <f t="shared" si="7"/>
        <v>0.78539816339744828</v>
      </c>
      <c r="Z62">
        <f t="shared" si="7"/>
        <v>0.78539816339744828</v>
      </c>
      <c r="AA62">
        <f t="shared" si="7"/>
        <v>0.78539816339744828</v>
      </c>
      <c r="AB62">
        <f t="shared" si="7"/>
        <v>0.78539816339744828</v>
      </c>
    </row>
    <row r="63" spans="1:28" x14ac:dyDescent="0.3">
      <c r="A63" s="3" t="s">
        <v>6</v>
      </c>
      <c r="B63">
        <v>10</v>
      </c>
      <c r="C63">
        <v>1</v>
      </c>
      <c r="D63">
        <v>1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N63">
        <f t="shared" si="1"/>
        <v>50000</v>
      </c>
      <c r="O63">
        <f t="shared" si="7"/>
        <v>0.78539816339744828</v>
      </c>
      <c r="P63">
        <f t="shared" si="7"/>
        <v>0.78539816339744828</v>
      </c>
      <c r="Q63">
        <f t="shared" si="7"/>
        <v>0.78539816339744828</v>
      </c>
      <c r="R63">
        <f t="shared" ref="P63:AB82" si="14">PI()/4</f>
        <v>0.78539816339744828</v>
      </c>
      <c r="S63">
        <f t="shared" si="14"/>
        <v>0.78539816339744828</v>
      </c>
      <c r="T63">
        <f t="shared" si="14"/>
        <v>0.78539816339744828</v>
      </c>
      <c r="U63">
        <f t="shared" si="14"/>
        <v>0.78539816339744828</v>
      </c>
      <c r="V63">
        <f t="shared" si="14"/>
        <v>0.78539816339744828</v>
      </c>
      <c r="W63">
        <f t="shared" si="14"/>
        <v>0.78539816339744828</v>
      </c>
      <c r="X63">
        <f t="shared" si="14"/>
        <v>0.78539816339744828</v>
      </c>
      <c r="Y63">
        <f t="shared" si="14"/>
        <v>0.78539816339744828</v>
      </c>
      <c r="Z63">
        <f t="shared" si="14"/>
        <v>0.78539816339744828</v>
      </c>
      <c r="AA63">
        <f t="shared" si="14"/>
        <v>0.78539816339744828</v>
      </c>
      <c r="AB63">
        <f t="shared" si="14"/>
        <v>0.78539816339744828</v>
      </c>
    </row>
    <row r="64" spans="1:28" x14ac:dyDescent="0.3">
      <c r="N64">
        <f t="shared" si="1"/>
        <v>50000</v>
      </c>
      <c r="O64">
        <f t="shared" ref="O64:AB122" si="15">PI()/4</f>
        <v>0.78539816339744828</v>
      </c>
      <c r="P64">
        <f t="shared" si="14"/>
        <v>0.78539816339744828</v>
      </c>
      <c r="Q64">
        <f t="shared" si="14"/>
        <v>0.78539816339744828</v>
      </c>
      <c r="R64">
        <f t="shared" si="14"/>
        <v>0.78539816339744828</v>
      </c>
      <c r="S64">
        <f t="shared" si="14"/>
        <v>0.78539816339744828</v>
      </c>
      <c r="T64">
        <f t="shared" si="14"/>
        <v>0.78539816339744828</v>
      </c>
      <c r="U64">
        <f t="shared" si="14"/>
        <v>0.78539816339744828</v>
      </c>
      <c r="V64">
        <f t="shared" si="14"/>
        <v>0.78539816339744828</v>
      </c>
      <c r="W64">
        <f t="shared" si="14"/>
        <v>0.78539816339744828</v>
      </c>
      <c r="X64">
        <f t="shared" si="14"/>
        <v>0.78539816339744828</v>
      </c>
      <c r="Y64">
        <f t="shared" si="14"/>
        <v>0.78539816339744828</v>
      </c>
      <c r="Z64">
        <f t="shared" si="14"/>
        <v>0.78539816339744828</v>
      </c>
      <c r="AA64">
        <f t="shared" si="14"/>
        <v>0.78539816339744828</v>
      </c>
      <c r="AB64">
        <f t="shared" si="14"/>
        <v>0.78539816339744828</v>
      </c>
    </row>
    <row r="65" spans="1:28" x14ac:dyDescent="0.3">
      <c r="N65">
        <f t="shared" si="1"/>
        <v>50000</v>
      </c>
      <c r="O65">
        <f t="shared" si="15"/>
        <v>0.78539816339744828</v>
      </c>
      <c r="P65">
        <f t="shared" si="14"/>
        <v>0.78539816339744828</v>
      </c>
      <c r="Q65">
        <f t="shared" si="14"/>
        <v>0.78539816339744828</v>
      </c>
      <c r="R65">
        <f t="shared" si="14"/>
        <v>0.78539816339744828</v>
      </c>
      <c r="S65">
        <f t="shared" si="14"/>
        <v>0.78539816339744828</v>
      </c>
      <c r="T65">
        <f t="shared" si="14"/>
        <v>0.78539816339744828</v>
      </c>
      <c r="U65">
        <f t="shared" si="14"/>
        <v>0.78539816339744828</v>
      </c>
      <c r="V65">
        <f t="shared" si="14"/>
        <v>0.78539816339744828</v>
      </c>
      <c r="W65">
        <f t="shared" si="14"/>
        <v>0.78539816339744828</v>
      </c>
      <c r="X65">
        <f t="shared" si="14"/>
        <v>0.78539816339744828</v>
      </c>
      <c r="Y65">
        <f t="shared" si="14"/>
        <v>0.78539816339744828</v>
      </c>
      <c r="Z65">
        <f t="shared" si="14"/>
        <v>0.78539816339744828</v>
      </c>
      <c r="AA65">
        <f t="shared" si="14"/>
        <v>0.78539816339744828</v>
      </c>
      <c r="AB65">
        <f t="shared" si="14"/>
        <v>0.78539816339744828</v>
      </c>
    </row>
    <row r="66" spans="1:28" x14ac:dyDescent="0.3">
      <c r="A66" s="3" t="s">
        <v>8</v>
      </c>
      <c r="K66" s="1" t="s">
        <v>14</v>
      </c>
      <c r="L66" t="s">
        <v>15</v>
      </c>
      <c r="N66">
        <f t="shared" si="1"/>
        <v>50000</v>
      </c>
      <c r="O66">
        <f t="shared" si="15"/>
        <v>0.78539816339744828</v>
      </c>
      <c r="P66">
        <f t="shared" si="14"/>
        <v>0.78539816339744828</v>
      </c>
      <c r="Q66">
        <f t="shared" si="14"/>
        <v>0.78539816339744828</v>
      </c>
      <c r="R66">
        <f t="shared" si="14"/>
        <v>0.78539816339744828</v>
      </c>
      <c r="S66">
        <f t="shared" si="14"/>
        <v>0.78539816339744828</v>
      </c>
      <c r="T66">
        <f t="shared" si="14"/>
        <v>0.78539816339744828</v>
      </c>
      <c r="U66">
        <f t="shared" si="14"/>
        <v>0.78539816339744828</v>
      </c>
      <c r="V66">
        <f t="shared" si="14"/>
        <v>0.78539816339744828</v>
      </c>
      <c r="W66">
        <f t="shared" si="14"/>
        <v>0.78539816339744828</v>
      </c>
      <c r="X66">
        <f t="shared" si="14"/>
        <v>0.78539816339744828</v>
      </c>
      <c r="Y66">
        <f t="shared" si="14"/>
        <v>0.78539816339744828</v>
      </c>
      <c r="Z66">
        <f t="shared" si="14"/>
        <v>0.78539816339744828</v>
      </c>
      <c r="AA66">
        <f t="shared" si="14"/>
        <v>0.78539816339744828</v>
      </c>
      <c r="AB66">
        <f t="shared" si="14"/>
        <v>0.78539816339744828</v>
      </c>
    </row>
    <row r="67" spans="1:28" x14ac:dyDescent="0.3">
      <c r="A67" s="1" t="s">
        <v>13</v>
      </c>
      <c r="B67">
        <f>O66*B58^2*B59</f>
        <v>2.3561944901923448</v>
      </c>
      <c r="C67">
        <f>O66*C58^2*C59</f>
        <v>3.1415926535897931</v>
      </c>
      <c r="D67">
        <f>O66*D58^2*D59</f>
        <v>7.0685834705770345</v>
      </c>
      <c r="E67">
        <f>O66*E58^2*E59</f>
        <v>0</v>
      </c>
      <c r="F67">
        <f>O66*F58^2*F59</f>
        <v>0</v>
      </c>
      <c r="G67">
        <f>O66*G58^2*G59</f>
        <v>28.274333882308138</v>
      </c>
      <c r="H67">
        <f>O66*H58^2*H59</f>
        <v>0</v>
      </c>
      <c r="I67">
        <f>O66*I58^2*I59</f>
        <v>0</v>
      </c>
      <c r="J67">
        <f>O66*J58^2*J59</f>
        <v>0</v>
      </c>
      <c r="K67">
        <f>SUM(B67:J67)</f>
        <v>40.840704496667314</v>
      </c>
      <c r="L67">
        <f>K67/N66</f>
        <v>8.1681408993334627E-4</v>
      </c>
      <c r="N67">
        <f t="shared" si="1"/>
        <v>50000</v>
      </c>
      <c r="O67">
        <f t="shared" si="15"/>
        <v>0.78539816339744828</v>
      </c>
      <c r="P67">
        <f t="shared" si="14"/>
        <v>0.78539816339744828</v>
      </c>
      <c r="Q67">
        <f t="shared" si="14"/>
        <v>0.78539816339744828</v>
      </c>
      <c r="R67">
        <f t="shared" si="14"/>
        <v>0.78539816339744828</v>
      </c>
      <c r="S67">
        <f t="shared" si="14"/>
        <v>0.78539816339744828</v>
      </c>
      <c r="T67">
        <f t="shared" si="14"/>
        <v>0.78539816339744828</v>
      </c>
      <c r="U67">
        <f t="shared" si="14"/>
        <v>0.78539816339744828</v>
      </c>
      <c r="V67">
        <f t="shared" si="14"/>
        <v>0.78539816339744828</v>
      </c>
      <c r="W67">
        <f t="shared" si="14"/>
        <v>0.78539816339744828</v>
      </c>
      <c r="X67">
        <f t="shared" si="14"/>
        <v>0.78539816339744828</v>
      </c>
      <c r="Y67">
        <f t="shared" si="14"/>
        <v>0.78539816339744828</v>
      </c>
      <c r="Z67">
        <f t="shared" si="14"/>
        <v>0.78539816339744828</v>
      </c>
      <c r="AA67">
        <f t="shared" si="14"/>
        <v>0.78539816339744828</v>
      </c>
      <c r="AB67">
        <f t="shared" si="14"/>
        <v>0.78539816339744828</v>
      </c>
    </row>
    <row r="68" spans="1:28" x14ac:dyDescent="0.3">
      <c r="N68">
        <f t="shared" si="1"/>
        <v>50000</v>
      </c>
      <c r="O68">
        <f t="shared" si="15"/>
        <v>0.78539816339744828</v>
      </c>
      <c r="P68">
        <f t="shared" si="14"/>
        <v>0.78539816339744828</v>
      </c>
      <c r="Q68">
        <f t="shared" si="14"/>
        <v>0.78539816339744828</v>
      </c>
      <c r="R68">
        <f t="shared" si="14"/>
        <v>0.78539816339744828</v>
      </c>
      <c r="S68">
        <f t="shared" si="14"/>
        <v>0.78539816339744828</v>
      </c>
      <c r="T68">
        <f t="shared" si="14"/>
        <v>0.78539816339744828</v>
      </c>
      <c r="U68">
        <f t="shared" si="14"/>
        <v>0.78539816339744828</v>
      </c>
      <c r="V68">
        <f t="shared" si="14"/>
        <v>0.78539816339744828</v>
      </c>
      <c r="W68">
        <f t="shared" si="14"/>
        <v>0.78539816339744828</v>
      </c>
      <c r="X68">
        <f t="shared" si="14"/>
        <v>0.78539816339744828</v>
      </c>
      <c r="Y68">
        <f t="shared" si="14"/>
        <v>0.78539816339744828</v>
      </c>
      <c r="Z68">
        <f t="shared" si="14"/>
        <v>0.78539816339744828</v>
      </c>
      <c r="AA68">
        <f t="shared" si="14"/>
        <v>0.78539816339744828</v>
      </c>
      <c r="AB68">
        <f t="shared" si="14"/>
        <v>0.78539816339744828</v>
      </c>
    </row>
    <row r="69" spans="1:28" x14ac:dyDescent="0.3">
      <c r="A69" s="3" t="s">
        <v>9</v>
      </c>
      <c r="N69">
        <f t="shared" si="1"/>
        <v>50000</v>
      </c>
      <c r="O69">
        <f t="shared" si="15"/>
        <v>0.78539816339744828</v>
      </c>
      <c r="P69">
        <f t="shared" si="14"/>
        <v>0.78539816339744828</v>
      </c>
      <c r="Q69">
        <f t="shared" si="14"/>
        <v>0.78539816339744828</v>
      </c>
      <c r="R69">
        <f t="shared" si="14"/>
        <v>0.78539816339744828</v>
      </c>
      <c r="S69">
        <f t="shared" si="14"/>
        <v>0.78539816339744828</v>
      </c>
      <c r="T69">
        <f t="shared" si="14"/>
        <v>0.78539816339744828</v>
      </c>
      <c r="U69">
        <f t="shared" si="14"/>
        <v>0.78539816339744828</v>
      </c>
      <c r="V69">
        <f t="shared" si="14"/>
        <v>0.78539816339744828</v>
      </c>
      <c r="W69">
        <f t="shared" si="14"/>
        <v>0.78539816339744828</v>
      </c>
      <c r="X69">
        <f t="shared" si="14"/>
        <v>0.78539816339744828</v>
      </c>
      <c r="Y69">
        <f t="shared" si="14"/>
        <v>0.78539816339744828</v>
      </c>
      <c r="Z69">
        <f t="shared" si="14"/>
        <v>0.78539816339744828</v>
      </c>
      <c r="AA69">
        <f t="shared" si="14"/>
        <v>0.78539816339744828</v>
      </c>
      <c r="AB69">
        <f t="shared" si="14"/>
        <v>0.78539816339744828</v>
      </c>
    </row>
    <row r="70" spans="1:28" x14ac:dyDescent="0.3">
      <c r="A70" s="1" t="s">
        <v>13</v>
      </c>
      <c r="B70">
        <f>O66*B58^2*B60</f>
        <v>7.8539816339744828</v>
      </c>
      <c r="C70">
        <f>O66*C58^2*C60</f>
        <v>21.991148575128552</v>
      </c>
      <c r="D70">
        <f>O66*D58^2*D60</f>
        <v>21.205750411731103</v>
      </c>
      <c r="E70">
        <f>O66*E58^2*E60</f>
        <v>0</v>
      </c>
      <c r="F70">
        <f>O66*F58^2*F60</f>
        <v>19.634954084936208</v>
      </c>
      <c r="G70">
        <f>O66*G58^2*G60</f>
        <v>28.274333882308138</v>
      </c>
      <c r="H70">
        <f>U66*H58^2*H60</f>
        <v>0</v>
      </c>
      <c r="I70">
        <f>U66*I58^2*I60</f>
        <v>0</v>
      </c>
      <c r="J70">
        <f>W66*J58^2*J60</f>
        <v>0</v>
      </c>
      <c r="K70">
        <f>SUM(B70:J70)</f>
        <v>98.960168588078488</v>
      </c>
      <c r="L70">
        <f>K70/N66</f>
        <v>1.9792033717615696E-3</v>
      </c>
      <c r="N70">
        <f t="shared" si="1"/>
        <v>50000</v>
      </c>
      <c r="O70">
        <f t="shared" si="15"/>
        <v>0.78539816339744828</v>
      </c>
      <c r="P70">
        <f t="shared" si="14"/>
        <v>0.78539816339744828</v>
      </c>
      <c r="Q70">
        <f t="shared" si="14"/>
        <v>0.78539816339744828</v>
      </c>
      <c r="R70">
        <f t="shared" si="14"/>
        <v>0.78539816339744828</v>
      </c>
      <c r="S70">
        <f t="shared" si="14"/>
        <v>0.78539816339744828</v>
      </c>
      <c r="T70">
        <f t="shared" si="14"/>
        <v>0.78539816339744828</v>
      </c>
      <c r="U70">
        <f t="shared" si="14"/>
        <v>0.78539816339744828</v>
      </c>
      <c r="V70">
        <f t="shared" si="14"/>
        <v>0.78539816339744828</v>
      </c>
      <c r="W70">
        <f t="shared" si="14"/>
        <v>0.78539816339744828</v>
      </c>
      <c r="X70">
        <f t="shared" si="14"/>
        <v>0.78539816339744828</v>
      </c>
      <c r="Y70">
        <f t="shared" si="14"/>
        <v>0.78539816339744828</v>
      </c>
      <c r="Z70">
        <f t="shared" si="14"/>
        <v>0.78539816339744828</v>
      </c>
      <c r="AA70">
        <f t="shared" si="14"/>
        <v>0.78539816339744828</v>
      </c>
      <c r="AB70">
        <f t="shared" si="14"/>
        <v>0.78539816339744828</v>
      </c>
    </row>
    <row r="71" spans="1:28" x14ac:dyDescent="0.3">
      <c r="N71">
        <f t="shared" si="1"/>
        <v>50000</v>
      </c>
      <c r="O71">
        <f t="shared" si="15"/>
        <v>0.78539816339744828</v>
      </c>
      <c r="P71">
        <f t="shared" si="14"/>
        <v>0.78539816339744828</v>
      </c>
      <c r="Q71">
        <f t="shared" si="14"/>
        <v>0.78539816339744828</v>
      </c>
      <c r="R71">
        <f t="shared" si="14"/>
        <v>0.78539816339744828</v>
      </c>
      <c r="S71">
        <f t="shared" si="14"/>
        <v>0.78539816339744828</v>
      </c>
      <c r="T71">
        <f t="shared" si="14"/>
        <v>0.78539816339744828</v>
      </c>
      <c r="U71">
        <f t="shared" si="14"/>
        <v>0.78539816339744828</v>
      </c>
      <c r="V71">
        <f t="shared" si="14"/>
        <v>0.78539816339744828</v>
      </c>
      <c r="W71">
        <f t="shared" si="14"/>
        <v>0.78539816339744828</v>
      </c>
      <c r="X71">
        <f t="shared" si="14"/>
        <v>0.78539816339744828</v>
      </c>
      <c r="Y71">
        <f t="shared" si="14"/>
        <v>0.78539816339744828</v>
      </c>
      <c r="Z71">
        <f t="shared" si="14"/>
        <v>0.78539816339744828</v>
      </c>
      <c r="AA71">
        <f t="shared" si="14"/>
        <v>0.78539816339744828</v>
      </c>
      <c r="AB71">
        <f t="shared" si="14"/>
        <v>0.78539816339744828</v>
      </c>
    </row>
    <row r="72" spans="1:28" x14ac:dyDescent="0.3">
      <c r="A72" s="3" t="s">
        <v>10</v>
      </c>
      <c r="N72">
        <f t="shared" si="1"/>
        <v>50000</v>
      </c>
      <c r="O72">
        <f t="shared" si="15"/>
        <v>0.78539816339744828</v>
      </c>
      <c r="P72">
        <f t="shared" si="14"/>
        <v>0.78539816339744828</v>
      </c>
      <c r="Q72">
        <f t="shared" si="14"/>
        <v>0.78539816339744828</v>
      </c>
      <c r="R72">
        <f t="shared" si="14"/>
        <v>0.78539816339744828</v>
      </c>
      <c r="S72">
        <f t="shared" si="14"/>
        <v>0.78539816339744828</v>
      </c>
      <c r="T72">
        <f t="shared" si="14"/>
        <v>0.78539816339744828</v>
      </c>
      <c r="U72">
        <f t="shared" si="14"/>
        <v>0.78539816339744828</v>
      </c>
      <c r="V72">
        <f t="shared" si="14"/>
        <v>0.78539816339744828</v>
      </c>
      <c r="W72">
        <f t="shared" si="14"/>
        <v>0.78539816339744828</v>
      </c>
      <c r="X72">
        <f t="shared" si="14"/>
        <v>0.78539816339744828</v>
      </c>
      <c r="Y72">
        <f t="shared" si="14"/>
        <v>0.78539816339744828</v>
      </c>
      <c r="Z72">
        <f t="shared" si="14"/>
        <v>0.78539816339744828</v>
      </c>
      <c r="AA72">
        <f t="shared" si="14"/>
        <v>0.78539816339744828</v>
      </c>
      <c r="AB72">
        <f t="shared" si="14"/>
        <v>0.78539816339744828</v>
      </c>
    </row>
    <row r="73" spans="1:28" x14ac:dyDescent="0.3">
      <c r="A73" s="1" t="s">
        <v>13</v>
      </c>
      <c r="B73">
        <f t="shared" ref="B73:J73" si="16">O69*B58^2*B61</f>
        <v>12.566370614359172</v>
      </c>
      <c r="C73">
        <f t="shared" si="16"/>
        <v>18.849555921538759</v>
      </c>
      <c r="D73">
        <f t="shared" si="16"/>
        <v>0</v>
      </c>
      <c r="E73">
        <f t="shared" si="16"/>
        <v>12.566370614359172</v>
      </c>
      <c r="F73">
        <f t="shared" si="16"/>
        <v>58.90486225480862</v>
      </c>
      <c r="G73">
        <f t="shared" si="16"/>
        <v>0</v>
      </c>
      <c r="H73">
        <f t="shared" si="16"/>
        <v>0</v>
      </c>
      <c r="I73">
        <f t="shared" si="16"/>
        <v>0</v>
      </c>
      <c r="J73">
        <f t="shared" si="16"/>
        <v>0</v>
      </c>
      <c r="K73">
        <f>SUM(B73:J73)</f>
        <v>102.88715940506572</v>
      </c>
      <c r="L73">
        <f t="shared" ref="L73" si="17">K73/N69</f>
        <v>2.0577431881013144E-3</v>
      </c>
      <c r="N73">
        <f t="shared" si="1"/>
        <v>50000</v>
      </c>
      <c r="O73">
        <f t="shared" si="15"/>
        <v>0.78539816339744828</v>
      </c>
      <c r="P73">
        <f t="shared" si="14"/>
        <v>0.78539816339744828</v>
      </c>
      <c r="Q73">
        <f t="shared" si="14"/>
        <v>0.78539816339744828</v>
      </c>
      <c r="R73">
        <f t="shared" si="14"/>
        <v>0.78539816339744828</v>
      </c>
      <c r="S73">
        <f t="shared" si="14"/>
        <v>0.78539816339744828</v>
      </c>
      <c r="T73">
        <f t="shared" si="14"/>
        <v>0.78539816339744828</v>
      </c>
      <c r="U73">
        <f t="shared" si="14"/>
        <v>0.78539816339744828</v>
      </c>
      <c r="V73">
        <f t="shared" si="14"/>
        <v>0.78539816339744828</v>
      </c>
      <c r="W73">
        <f t="shared" si="14"/>
        <v>0.78539816339744828</v>
      </c>
      <c r="X73">
        <f t="shared" si="14"/>
        <v>0.78539816339744828</v>
      </c>
      <c r="Y73">
        <f t="shared" si="14"/>
        <v>0.78539816339744828</v>
      </c>
      <c r="Z73">
        <f t="shared" si="14"/>
        <v>0.78539816339744828</v>
      </c>
      <c r="AA73">
        <f t="shared" si="14"/>
        <v>0.78539816339744828</v>
      </c>
      <c r="AB73">
        <f t="shared" si="14"/>
        <v>0.78539816339744828</v>
      </c>
    </row>
    <row r="74" spans="1:28" x14ac:dyDescent="0.3">
      <c r="N74">
        <f t="shared" si="1"/>
        <v>50000</v>
      </c>
      <c r="O74">
        <f t="shared" si="15"/>
        <v>0.78539816339744828</v>
      </c>
      <c r="P74">
        <f t="shared" si="14"/>
        <v>0.78539816339744828</v>
      </c>
      <c r="Q74">
        <f t="shared" si="14"/>
        <v>0.78539816339744828</v>
      </c>
      <c r="R74">
        <f t="shared" si="14"/>
        <v>0.78539816339744828</v>
      </c>
      <c r="S74">
        <f t="shared" si="14"/>
        <v>0.78539816339744828</v>
      </c>
      <c r="T74">
        <f t="shared" si="14"/>
        <v>0.78539816339744828</v>
      </c>
      <c r="U74">
        <f t="shared" si="14"/>
        <v>0.78539816339744828</v>
      </c>
      <c r="V74">
        <f t="shared" si="14"/>
        <v>0.78539816339744828</v>
      </c>
      <c r="W74">
        <f t="shared" si="14"/>
        <v>0.78539816339744828</v>
      </c>
      <c r="X74">
        <f t="shared" si="14"/>
        <v>0.78539816339744828</v>
      </c>
      <c r="Y74">
        <f t="shared" si="14"/>
        <v>0.78539816339744828</v>
      </c>
      <c r="Z74">
        <f t="shared" si="14"/>
        <v>0.78539816339744828</v>
      </c>
      <c r="AA74">
        <f t="shared" si="14"/>
        <v>0.78539816339744828</v>
      </c>
      <c r="AB74">
        <f t="shared" si="14"/>
        <v>0.78539816339744828</v>
      </c>
    </row>
    <row r="75" spans="1:28" x14ac:dyDescent="0.3">
      <c r="A75" s="3" t="s">
        <v>11</v>
      </c>
      <c r="N75">
        <f t="shared" si="1"/>
        <v>50000</v>
      </c>
      <c r="O75">
        <f t="shared" si="15"/>
        <v>0.78539816339744828</v>
      </c>
      <c r="P75">
        <f t="shared" si="14"/>
        <v>0.78539816339744828</v>
      </c>
      <c r="Q75">
        <f t="shared" si="14"/>
        <v>0.78539816339744828</v>
      </c>
      <c r="R75">
        <f t="shared" si="14"/>
        <v>0.78539816339744828</v>
      </c>
      <c r="S75">
        <f t="shared" si="14"/>
        <v>0.78539816339744828</v>
      </c>
      <c r="T75">
        <f t="shared" si="14"/>
        <v>0.78539816339744828</v>
      </c>
      <c r="U75">
        <f t="shared" si="14"/>
        <v>0.78539816339744828</v>
      </c>
      <c r="V75">
        <f t="shared" si="14"/>
        <v>0.78539816339744828</v>
      </c>
      <c r="W75">
        <f t="shared" si="14"/>
        <v>0.78539816339744828</v>
      </c>
      <c r="X75">
        <f t="shared" si="14"/>
        <v>0.78539816339744828</v>
      </c>
      <c r="Y75">
        <f t="shared" si="14"/>
        <v>0.78539816339744828</v>
      </c>
      <c r="Z75">
        <f t="shared" si="14"/>
        <v>0.78539816339744828</v>
      </c>
      <c r="AA75">
        <f t="shared" si="14"/>
        <v>0.78539816339744828</v>
      </c>
      <c r="AB75">
        <f t="shared" si="14"/>
        <v>0.78539816339744828</v>
      </c>
    </row>
    <row r="76" spans="1:28" x14ac:dyDescent="0.3">
      <c r="A76" s="1" t="s">
        <v>13</v>
      </c>
      <c r="B76">
        <f t="shared" ref="B76:J76" si="18">O72*B58^2*B62</f>
        <v>5.497787143782138</v>
      </c>
      <c r="C76">
        <f t="shared" si="18"/>
        <v>12.566370614359172</v>
      </c>
      <c r="D76">
        <f t="shared" si="18"/>
        <v>14.137166941154069</v>
      </c>
      <c r="E76">
        <f t="shared" si="18"/>
        <v>0</v>
      </c>
      <c r="F76">
        <f t="shared" si="18"/>
        <v>0</v>
      </c>
      <c r="G76">
        <f t="shared" si="18"/>
        <v>0</v>
      </c>
      <c r="H76">
        <f t="shared" si="18"/>
        <v>0</v>
      </c>
      <c r="I76">
        <f t="shared" si="18"/>
        <v>0</v>
      </c>
      <c r="J76">
        <f t="shared" si="18"/>
        <v>0</v>
      </c>
      <c r="K76">
        <f>SUM(B76:J76)</f>
        <v>32.201324699295377</v>
      </c>
      <c r="L76" s="7">
        <f t="shared" ref="L76" si="19">K76/N72</f>
        <v>6.4402649398590753E-4</v>
      </c>
      <c r="N76">
        <f t="shared" si="1"/>
        <v>50000</v>
      </c>
      <c r="O76">
        <f t="shared" si="15"/>
        <v>0.78539816339744828</v>
      </c>
      <c r="P76">
        <f t="shared" si="14"/>
        <v>0.78539816339744828</v>
      </c>
      <c r="Q76">
        <f t="shared" si="14"/>
        <v>0.78539816339744828</v>
      </c>
      <c r="R76">
        <f t="shared" si="14"/>
        <v>0.78539816339744828</v>
      </c>
      <c r="S76">
        <f t="shared" si="14"/>
        <v>0.78539816339744828</v>
      </c>
      <c r="T76">
        <f t="shared" si="14"/>
        <v>0.78539816339744828</v>
      </c>
      <c r="U76">
        <f t="shared" si="14"/>
        <v>0.78539816339744828</v>
      </c>
      <c r="V76">
        <f t="shared" si="14"/>
        <v>0.78539816339744828</v>
      </c>
      <c r="W76">
        <f t="shared" si="14"/>
        <v>0.78539816339744828</v>
      </c>
      <c r="X76">
        <f t="shared" si="14"/>
        <v>0.78539816339744828</v>
      </c>
      <c r="Y76">
        <f t="shared" si="14"/>
        <v>0.78539816339744828</v>
      </c>
      <c r="Z76">
        <f t="shared" si="14"/>
        <v>0.78539816339744828</v>
      </c>
      <c r="AA76">
        <f t="shared" si="14"/>
        <v>0.78539816339744828</v>
      </c>
      <c r="AB76">
        <f t="shared" si="14"/>
        <v>0.78539816339744828</v>
      </c>
    </row>
    <row r="77" spans="1:28" x14ac:dyDescent="0.3">
      <c r="N77">
        <f t="shared" ref="N77:N140" si="20">100*500</f>
        <v>50000</v>
      </c>
      <c r="O77">
        <f t="shared" si="15"/>
        <v>0.78539816339744828</v>
      </c>
      <c r="P77">
        <f t="shared" si="14"/>
        <v>0.78539816339744828</v>
      </c>
      <c r="Q77">
        <f t="shared" si="14"/>
        <v>0.78539816339744828</v>
      </c>
      <c r="R77">
        <f t="shared" si="14"/>
        <v>0.78539816339744828</v>
      </c>
      <c r="S77">
        <f t="shared" si="14"/>
        <v>0.78539816339744828</v>
      </c>
      <c r="T77">
        <f t="shared" si="14"/>
        <v>0.78539816339744828</v>
      </c>
      <c r="U77">
        <f t="shared" si="14"/>
        <v>0.78539816339744828</v>
      </c>
      <c r="V77">
        <f t="shared" si="14"/>
        <v>0.78539816339744828</v>
      </c>
      <c r="W77">
        <f t="shared" si="14"/>
        <v>0.78539816339744828</v>
      </c>
      <c r="X77">
        <f t="shared" si="14"/>
        <v>0.78539816339744828</v>
      </c>
      <c r="Y77">
        <f t="shared" si="14"/>
        <v>0.78539816339744828</v>
      </c>
      <c r="Z77">
        <f t="shared" si="14"/>
        <v>0.78539816339744828</v>
      </c>
      <c r="AA77">
        <f t="shared" si="14"/>
        <v>0.78539816339744828</v>
      </c>
      <c r="AB77">
        <f t="shared" si="14"/>
        <v>0.78539816339744828</v>
      </c>
    </row>
    <row r="78" spans="1:28" x14ac:dyDescent="0.3">
      <c r="A78" s="3" t="s">
        <v>12</v>
      </c>
      <c r="N78">
        <f t="shared" si="20"/>
        <v>50000</v>
      </c>
      <c r="O78">
        <f t="shared" si="15"/>
        <v>0.78539816339744828</v>
      </c>
      <c r="P78">
        <f t="shared" si="14"/>
        <v>0.78539816339744828</v>
      </c>
      <c r="Q78">
        <f t="shared" si="14"/>
        <v>0.78539816339744828</v>
      </c>
      <c r="R78">
        <f t="shared" si="14"/>
        <v>0.78539816339744828</v>
      </c>
      <c r="S78">
        <f t="shared" si="14"/>
        <v>0.78539816339744828</v>
      </c>
      <c r="T78">
        <f t="shared" si="14"/>
        <v>0.78539816339744828</v>
      </c>
      <c r="U78">
        <f t="shared" si="14"/>
        <v>0.78539816339744828</v>
      </c>
      <c r="V78">
        <f t="shared" si="14"/>
        <v>0.78539816339744828</v>
      </c>
      <c r="W78">
        <f t="shared" si="14"/>
        <v>0.78539816339744828</v>
      </c>
      <c r="X78">
        <f t="shared" si="14"/>
        <v>0.78539816339744828</v>
      </c>
      <c r="Y78">
        <f t="shared" si="14"/>
        <v>0.78539816339744828</v>
      </c>
      <c r="Z78">
        <f t="shared" si="14"/>
        <v>0.78539816339744828</v>
      </c>
      <c r="AA78">
        <f t="shared" si="14"/>
        <v>0.78539816339744828</v>
      </c>
      <c r="AB78">
        <f t="shared" si="14"/>
        <v>0.78539816339744828</v>
      </c>
    </row>
    <row r="79" spans="1:28" x14ac:dyDescent="0.3">
      <c r="A79" s="1" t="s">
        <v>13</v>
      </c>
      <c r="B79">
        <f t="shared" ref="B79:J79" si="21">O75*B58^2*B63</f>
        <v>7.8539816339744828</v>
      </c>
      <c r="C79">
        <f t="shared" si="21"/>
        <v>3.1415926535897931</v>
      </c>
      <c r="D79">
        <f t="shared" si="21"/>
        <v>7.0685834705770345</v>
      </c>
      <c r="E79">
        <f t="shared" si="21"/>
        <v>0</v>
      </c>
      <c r="F79">
        <f t="shared" si="21"/>
        <v>0</v>
      </c>
      <c r="G79">
        <f t="shared" si="21"/>
        <v>0</v>
      </c>
      <c r="H79">
        <f t="shared" si="21"/>
        <v>0</v>
      </c>
      <c r="I79">
        <f t="shared" si="21"/>
        <v>0</v>
      </c>
      <c r="J79">
        <f t="shared" si="21"/>
        <v>0</v>
      </c>
      <c r="K79">
        <f>SUM(B79:J79)</f>
        <v>18.06415775814131</v>
      </c>
      <c r="L79">
        <f t="shared" ref="L79" si="22">K79/N75</f>
        <v>3.6128315516282617E-4</v>
      </c>
      <c r="N79">
        <f t="shared" si="20"/>
        <v>50000</v>
      </c>
      <c r="O79">
        <f t="shared" si="15"/>
        <v>0.78539816339744828</v>
      </c>
      <c r="P79">
        <f t="shared" si="14"/>
        <v>0.78539816339744828</v>
      </c>
      <c r="Q79">
        <f t="shared" si="14"/>
        <v>0.78539816339744828</v>
      </c>
      <c r="R79">
        <f t="shared" si="14"/>
        <v>0.78539816339744828</v>
      </c>
      <c r="S79">
        <f t="shared" si="14"/>
        <v>0.78539816339744828</v>
      </c>
      <c r="T79">
        <f t="shared" si="14"/>
        <v>0.78539816339744828</v>
      </c>
      <c r="U79">
        <f t="shared" si="14"/>
        <v>0.78539816339744828</v>
      </c>
      <c r="V79">
        <f t="shared" si="14"/>
        <v>0.78539816339744828</v>
      </c>
      <c r="W79">
        <f t="shared" si="14"/>
        <v>0.78539816339744828</v>
      </c>
      <c r="X79">
        <f t="shared" si="14"/>
        <v>0.78539816339744828</v>
      </c>
      <c r="Y79">
        <f t="shared" si="14"/>
        <v>0.78539816339744828</v>
      </c>
      <c r="Z79">
        <f t="shared" si="14"/>
        <v>0.78539816339744828</v>
      </c>
      <c r="AA79">
        <f t="shared" si="14"/>
        <v>0.78539816339744828</v>
      </c>
      <c r="AB79">
        <f t="shared" si="14"/>
        <v>0.78539816339744828</v>
      </c>
    </row>
    <row r="80" spans="1:28" x14ac:dyDescent="0.3">
      <c r="N80">
        <f t="shared" si="20"/>
        <v>50000</v>
      </c>
      <c r="O80">
        <f t="shared" si="15"/>
        <v>0.78539816339744828</v>
      </c>
      <c r="P80">
        <f t="shared" si="14"/>
        <v>0.78539816339744828</v>
      </c>
      <c r="Q80">
        <f t="shared" si="14"/>
        <v>0.78539816339744828</v>
      </c>
      <c r="R80">
        <f t="shared" si="14"/>
        <v>0.78539816339744828</v>
      </c>
      <c r="S80">
        <f t="shared" si="14"/>
        <v>0.78539816339744828</v>
      </c>
      <c r="T80">
        <f t="shared" si="14"/>
        <v>0.78539816339744828</v>
      </c>
      <c r="U80">
        <f t="shared" si="14"/>
        <v>0.78539816339744828</v>
      </c>
      <c r="V80">
        <f t="shared" si="14"/>
        <v>0.78539816339744828</v>
      </c>
      <c r="W80">
        <f t="shared" si="14"/>
        <v>0.78539816339744828</v>
      </c>
      <c r="X80">
        <f t="shared" si="14"/>
        <v>0.78539816339744828</v>
      </c>
      <c r="Y80">
        <f t="shared" si="14"/>
        <v>0.78539816339744828</v>
      </c>
      <c r="Z80">
        <f t="shared" si="14"/>
        <v>0.78539816339744828</v>
      </c>
      <c r="AA80">
        <f t="shared" si="14"/>
        <v>0.78539816339744828</v>
      </c>
      <c r="AB80">
        <f t="shared" si="14"/>
        <v>0.78539816339744828</v>
      </c>
    </row>
    <row r="81" spans="14:28" x14ac:dyDescent="0.3">
      <c r="N81">
        <f t="shared" si="20"/>
        <v>50000</v>
      </c>
      <c r="O81">
        <f t="shared" si="15"/>
        <v>0.78539816339744828</v>
      </c>
      <c r="P81">
        <f t="shared" si="14"/>
        <v>0.78539816339744828</v>
      </c>
      <c r="Q81">
        <f t="shared" si="14"/>
        <v>0.78539816339744828</v>
      </c>
      <c r="R81">
        <f t="shared" si="14"/>
        <v>0.78539816339744828</v>
      </c>
      <c r="S81">
        <f t="shared" si="14"/>
        <v>0.78539816339744828</v>
      </c>
      <c r="T81">
        <f t="shared" si="14"/>
        <v>0.78539816339744828</v>
      </c>
      <c r="U81">
        <f t="shared" si="14"/>
        <v>0.78539816339744828</v>
      </c>
      <c r="V81">
        <f t="shared" si="14"/>
        <v>0.78539816339744828</v>
      </c>
      <c r="W81">
        <f t="shared" si="14"/>
        <v>0.78539816339744828</v>
      </c>
      <c r="X81">
        <f t="shared" si="14"/>
        <v>0.78539816339744828</v>
      </c>
      <c r="Y81">
        <f t="shared" si="14"/>
        <v>0.78539816339744828</v>
      </c>
      <c r="Z81">
        <f t="shared" si="14"/>
        <v>0.78539816339744828</v>
      </c>
      <c r="AA81">
        <f t="shared" si="14"/>
        <v>0.78539816339744828</v>
      </c>
      <c r="AB81">
        <f t="shared" si="14"/>
        <v>0.78539816339744828</v>
      </c>
    </row>
    <row r="82" spans="14:28" x14ac:dyDescent="0.3">
      <c r="N82">
        <f t="shared" si="20"/>
        <v>50000</v>
      </c>
      <c r="O82">
        <f t="shared" si="15"/>
        <v>0.78539816339744828</v>
      </c>
      <c r="P82">
        <f t="shared" si="14"/>
        <v>0.78539816339744828</v>
      </c>
      <c r="Q82">
        <f t="shared" si="14"/>
        <v>0.78539816339744828</v>
      </c>
      <c r="R82">
        <f t="shared" si="14"/>
        <v>0.78539816339744828</v>
      </c>
      <c r="S82">
        <f t="shared" si="14"/>
        <v>0.78539816339744828</v>
      </c>
      <c r="T82">
        <f t="shared" si="14"/>
        <v>0.78539816339744828</v>
      </c>
      <c r="U82">
        <f t="shared" si="14"/>
        <v>0.78539816339744828</v>
      </c>
      <c r="V82">
        <f t="shared" si="14"/>
        <v>0.78539816339744828</v>
      </c>
      <c r="W82">
        <f t="shared" si="14"/>
        <v>0.78539816339744828</v>
      </c>
      <c r="X82">
        <f t="shared" si="14"/>
        <v>0.78539816339744828</v>
      </c>
      <c r="Y82">
        <f t="shared" si="14"/>
        <v>0.78539816339744828</v>
      </c>
      <c r="Z82">
        <f t="shared" ref="P82:AB102" si="23">PI()/4</f>
        <v>0.78539816339744828</v>
      </c>
      <c r="AA82">
        <f t="shared" si="23"/>
        <v>0.78539816339744828</v>
      </c>
      <c r="AB82">
        <f t="shared" si="23"/>
        <v>0.78539816339744828</v>
      </c>
    </row>
    <row r="83" spans="14:28" x14ac:dyDescent="0.3">
      <c r="N83">
        <f t="shared" si="20"/>
        <v>50000</v>
      </c>
      <c r="O83">
        <f t="shared" si="15"/>
        <v>0.78539816339744828</v>
      </c>
      <c r="P83">
        <f t="shared" si="23"/>
        <v>0.78539816339744828</v>
      </c>
      <c r="Q83">
        <f t="shared" si="23"/>
        <v>0.78539816339744828</v>
      </c>
      <c r="R83">
        <f t="shared" si="23"/>
        <v>0.78539816339744828</v>
      </c>
      <c r="S83">
        <f t="shared" si="23"/>
        <v>0.78539816339744828</v>
      </c>
      <c r="T83">
        <f t="shared" si="23"/>
        <v>0.78539816339744828</v>
      </c>
      <c r="U83">
        <f t="shared" si="23"/>
        <v>0.78539816339744828</v>
      </c>
      <c r="V83">
        <f t="shared" si="23"/>
        <v>0.78539816339744828</v>
      </c>
      <c r="W83">
        <f t="shared" si="23"/>
        <v>0.78539816339744828</v>
      </c>
      <c r="X83">
        <f t="shared" si="23"/>
        <v>0.78539816339744828</v>
      </c>
      <c r="Y83">
        <f t="shared" si="23"/>
        <v>0.78539816339744828</v>
      </c>
      <c r="Z83">
        <f t="shared" si="23"/>
        <v>0.78539816339744828</v>
      </c>
      <c r="AA83">
        <f t="shared" si="23"/>
        <v>0.78539816339744828</v>
      </c>
      <c r="AB83">
        <f t="shared" si="23"/>
        <v>0.78539816339744828</v>
      </c>
    </row>
    <row r="84" spans="14:28" x14ac:dyDescent="0.3">
      <c r="N84">
        <f t="shared" si="20"/>
        <v>50000</v>
      </c>
      <c r="O84">
        <f t="shared" si="15"/>
        <v>0.78539816339744828</v>
      </c>
      <c r="P84">
        <f t="shared" si="23"/>
        <v>0.78539816339744828</v>
      </c>
      <c r="Q84">
        <f t="shared" si="23"/>
        <v>0.78539816339744828</v>
      </c>
      <c r="R84">
        <f t="shared" si="23"/>
        <v>0.78539816339744828</v>
      </c>
      <c r="S84">
        <f t="shared" si="23"/>
        <v>0.78539816339744828</v>
      </c>
      <c r="T84">
        <f t="shared" si="23"/>
        <v>0.78539816339744828</v>
      </c>
      <c r="U84">
        <f t="shared" si="23"/>
        <v>0.78539816339744828</v>
      </c>
      <c r="V84">
        <f t="shared" si="23"/>
        <v>0.78539816339744828</v>
      </c>
      <c r="W84">
        <f t="shared" si="23"/>
        <v>0.78539816339744828</v>
      </c>
      <c r="X84">
        <f t="shared" si="23"/>
        <v>0.78539816339744828</v>
      </c>
      <c r="Y84">
        <f t="shared" si="23"/>
        <v>0.78539816339744828</v>
      </c>
      <c r="Z84">
        <f t="shared" si="23"/>
        <v>0.78539816339744828</v>
      </c>
      <c r="AA84">
        <f t="shared" si="23"/>
        <v>0.78539816339744828</v>
      </c>
      <c r="AB84">
        <f t="shared" si="23"/>
        <v>0.78539816339744828</v>
      </c>
    </row>
    <row r="85" spans="14:28" x14ac:dyDescent="0.3">
      <c r="N85">
        <f t="shared" si="20"/>
        <v>50000</v>
      </c>
      <c r="O85">
        <f t="shared" si="15"/>
        <v>0.78539816339744828</v>
      </c>
      <c r="P85">
        <f t="shared" si="23"/>
        <v>0.78539816339744828</v>
      </c>
      <c r="Q85">
        <f t="shared" si="23"/>
        <v>0.78539816339744828</v>
      </c>
      <c r="R85">
        <f t="shared" si="23"/>
        <v>0.78539816339744828</v>
      </c>
      <c r="S85">
        <f t="shared" si="23"/>
        <v>0.78539816339744828</v>
      </c>
      <c r="T85">
        <f t="shared" si="23"/>
        <v>0.78539816339744828</v>
      </c>
      <c r="U85">
        <f t="shared" si="23"/>
        <v>0.78539816339744828</v>
      </c>
      <c r="V85">
        <f t="shared" si="23"/>
        <v>0.78539816339744828</v>
      </c>
      <c r="W85">
        <f t="shared" si="23"/>
        <v>0.78539816339744828</v>
      </c>
      <c r="X85">
        <f t="shared" si="23"/>
        <v>0.78539816339744828</v>
      </c>
      <c r="Y85">
        <f t="shared" si="23"/>
        <v>0.78539816339744828</v>
      </c>
      <c r="Z85">
        <f t="shared" si="23"/>
        <v>0.78539816339744828</v>
      </c>
      <c r="AA85">
        <f t="shared" si="23"/>
        <v>0.78539816339744828</v>
      </c>
      <c r="AB85">
        <f t="shared" si="23"/>
        <v>0.78539816339744828</v>
      </c>
    </row>
    <row r="86" spans="14:28" x14ac:dyDescent="0.3">
      <c r="N86">
        <f t="shared" si="20"/>
        <v>50000</v>
      </c>
      <c r="O86">
        <f t="shared" si="15"/>
        <v>0.78539816339744828</v>
      </c>
      <c r="P86">
        <f t="shared" si="23"/>
        <v>0.78539816339744828</v>
      </c>
      <c r="Q86">
        <f t="shared" si="23"/>
        <v>0.78539816339744828</v>
      </c>
      <c r="R86">
        <f t="shared" si="23"/>
        <v>0.78539816339744828</v>
      </c>
      <c r="S86">
        <f t="shared" si="23"/>
        <v>0.78539816339744828</v>
      </c>
      <c r="T86">
        <f t="shared" si="23"/>
        <v>0.78539816339744828</v>
      </c>
      <c r="U86">
        <f t="shared" si="23"/>
        <v>0.78539816339744828</v>
      </c>
      <c r="V86">
        <f t="shared" si="23"/>
        <v>0.78539816339744828</v>
      </c>
      <c r="W86">
        <f t="shared" si="23"/>
        <v>0.78539816339744828</v>
      </c>
      <c r="X86">
        <f t="shared" si="23"/>
        <v>0.78539816339744828</v>
      </c>
      <c r="Y86">
        <f t="shared" si="23"/>
        <v>0.78539816339744828</v>
      </c>
      <c r="Z86">
        <f t="shared" si="23"/>
        <v>0.78539816339744828</v>
      </c>
      <c r="AA86">
        <f t="shared" si="23"/>
        <v>0.78539816339744828</v>
      </c>
      <c r="AB86">
        <f t="shared" si="23"/>
        <v>0.78539816339744828</v>
      </c>
    </row>
    <row r="87" spans="14:28" x14ac:dyDescent="0.3">
      <c r="N87">
        <f t="shared" si="20"/>
        <v>50000</v>
      </c>
      <c r="O87">
        <f t="shared" si="15"/>
        <v>0.78539816339744828</v>
      </c>
      <c r="P87">
        <f t="shared" si="23"/>
        <v>0.78539816339744828</v>
      </c>
      <c r="Q87">
        <f t="shared" si="23"/>
        <v>0.78539816339744828</v>
      </c>
      <c r="R87">
        <f t="shared" si="23"/>
        <v>0.78539816339744828</v>
      </c>
      <c r="S87">
        <f t="shared" si="23"/>
        <v>0.78539816339744828</v>
      </c>
      <c r="T87">
        <f t="shared" si="23"/>
        <v>0.78539816339744828</v>
      </c>
      <c r="U87">
        <f t="shared" si="23"/>
        <v>0.78539816339744828</v>
      </c>
      <c r="V87">
        <f t="shared" si="23"/>
        <v>0.78539816339744828</v>
      </c>
      <c r="W87">
        <f t="shared" si="23"/>
        <v>0.78539816339744828</v>
      </c>
      <c r="X87">
        <f t="shared" si="23"/>
        <v>0.78539816339744828</v>
      </c>
      <c r="Y87">
        <f t="shared" si="23"/>
        <v>0.78539816339744828</v>
      </c>
      <c r="Z87">
        <f t="shared" si="23"/>
        <v>0.78539816339744828</v>
      </c>
      <c r="AA87">
        <f t="shared" si="23"/>
        <v>0.78539816339744828</v>
      </c>
      <c r="AB87">
        <f t="shared" si="23"/>
        <v>0.78539816339744828</v>
      </c>
    </row>
    <row r="88" spans="14:28" x14ac:dyDescent="0.3">
      <c r="N88">
        <f t="shared" si="20"/>
        <v>50000</v>
      </c>
      <c r="O88">
        <f t="shared" si="15"/>
        <v>0.78539816339744828</v>
      </c>
      <c r="P88">
        <f t="shared" si="23"/>
        <v>0.78539816339744828</v>
      </c>
      <c r="Q88">
        <f t="shared" si="23"/>
        <v>0.78539816339744828</v>
      </c>
      <c r="R88">
        <f t="shared" si="23"/>
        <v>0.78539816339744828</v>
      </c>
      <c r="S88">
        <f t="shared" si="23"/>
        <v>0.78539816339744828</v>
      </c>
      <c r="T88">
        <f t="shared" si="23"/>
        <v>0.78539816339744828</v>
      </c>
      <c r="U88">
        <f t="shared" si="23"/>
        <v>0.78539816339744828</v>
      </c>
      <c r="V88">
        <f t="shared" si="23"/>
        <v>0.78539816339744828</v>
      </c>
      <c r="W88">
        <f t="shared" si="23"/>
        <v>0.78539816339744828</v>
      </c>
      <c r="X88">
        <f t="shared" si="23"/>
        <v>0.78539816339744828</v>
      </c>
      <c r="Y88">
        <f t="shared" si="23"/>
        <v>0.78539816339744828</v>
      </c>
      <c r="Z88">
        <f t="shared" si="23"/>
        <v>0.78539816339744828</v>
      </c>
      <c r="AA88">
        <f t="shared" si="23"/>
        <v>0.78539816339744828</v>
      </c>
      <c r="AB88">
        <f t="shared" si="23"/>
        <v>0.78539816339744828</v>
      </c>
    </row>
    <row r="89" spans="14:28" x14ac:dyDescent="0.3">
      <c r="N89">
        <f t="shared" si="20"/>
        <v>50000</v>
      </c>
      <c r="O89">
        <f t="shared" si="15"/>
        <v>0.78539816339744828</v>
      </c>
      <c r="P89">
        <f t="shared" si="23"/>
        <v>0.78539816339744828</v>
      </c>
      <c r="Q89">
        <f t="shared" si="23"/>
        <v>0.78539816339744828</v>
      </c>
      <c r="R89">
        <f t="shared" si="23"/>
        <v>0.78539816339744828</v>
      </c>
      <c r="S89">
        <f t="shared" si="23"/>
        <v>0.78539816339744828</v>
      </c>
      <c r="T89">
        <f t="shared" si="23"/>
        <v>0.78539816339744828</v>
      </c>
      <c r="U89">
        <f t="shared" si="23"/>
        <v>0.78539816339744828</v>
      </c>
      <c r="V89">
        <f t="shared" si="23"/>
        <v>0.78539816339744828</v>
      </c>
      <c r="W89">
        <f t="shared" si="23"/>
        <v>0.78539816339744828</v>
      </c>
      <c r="X89">
        <f t="shared" si="23"/>
        <v>0.78539816339744828</v>
      </c>
      <c r="Y89">
        <f t="shared" si="23"/>
        <v>0.78539816339744828</v>
      </c>
      <c r="Z89">
        <f t="shared" si="23"/>
        <v>0.78539816339744828</v>
      </c>
      <c r="AA89">
        <f t="shared" si="23"/>
        <v>0.78539816339744828</v>
      </c>
      <c r="AB89">
        <f t="shared" si="23"/>
        <v>0.78539816339744828</v>
      </c>
    </row>
    <row r="90" spans="14:28" x14ac:dyDescent="0.3">
      <c r="N90">
        <f t="shared" si="20"/>
        <v>50000</v>
      </c>
      <c r="O90">
        <f t="shared" si="15"/>
        <v>0.78539816339744828</v>
      </c>
      <c r="P90">
        <f t="shared" si="23"/>
        <v>0.78539816339744828</v>
      </c>
      <c r="Q90">
        <f t="shared" si="23"/>
        <v>0.78539816339744828</v>
      </c>
      <c r="R90">
        <f t="shared" si="23"/>
        <v>0.78539816339744828</v>
      </c>
      <c r="S90">
        <f t="shared" si="23"/>
        <v>0.78539816339744828</v>
      </c>
      <c r="T90">
        <f t="shared" si="23"/>
        <v>0.78539816339744828</v>
      </c>
      <c r="U90">
        <f t="shared" si="23"/>
        <v>0.78539816339744828</v>
      </c>
      <c r="V90">
        <f t="shared" si="23"/>
        <v>0.78539816339744828</v>
      </c>
      <c r="W90">
        <f t="shared" si="23"/>
        <v>0.78539816339744828</v>
      </c>
      <c r="X90">
        <f t="shared" si="23"/>
        <v>0.78539816339744828</v>
      </c>
      <c r="Y90">
        <f t="shared" si="23"/>
        <v>0.78539816339744828</v>
      </c>
      <c r="Z90">
        <f t="shared" si="23"/>
        <v>0.78539816339744828</v>
      </c>
      <c r="AA90">
        <f t="shared" si="23"/>
        <v>0.78539816339744828</v>
      </c>
      <c r="AB90">
        <f t="shared" si="23"/>
        <v>0.78539816339744828</v>
      </c>
    </row>
    <row r="91" spans="14:28" x14ac:dyDescent="0.3">
      <c r="N91">
        <f t="shared" si="20"/>
        <v>50000</v>
      </c>
      <c r="O91">
        <f t="shared" si="15"/>
        <v>0.78539816339744828</v>
      </c>
      <c r="P91">
        <f t="shared" si="23"/>
        <v>0.78539816339744828</v>
      </c>
      <c r="Q91">
        <f t="shared" si="23"/>
        <v>0.78539816339744828</v>
      </c>
      <c r="R91">
        <f t="shared" si="23"/>
        <v>0.78539816339744828</v>
      </c>
      <c r="S91">
        <f t="shared" si="23"/>
        <v>0.78539816339744828</v>
      </c>
      <c r="T91">
        <f t="shared" si="23"/>
        <v>0.78539816339744828</v>
      </c>
      <c r="U91">
        <f t="shared" si="23"/>
        <v>0.78539816339744828</v>
      </c>
      <c r="V91">
        <f t="shared" si="23"/>
        <v>0.78539816339744828</v>
      </c>
      <c r="W91">
        <f t="shared" si="23"/>
        <v>0.78539816339744828</v>
      </c>
      <c r="X91">
        <f t="shared" si="23"/>
        <v>0.78539816339744828</v>
      </c>
      <c r="Y91">
        <f t="shared" si="23"/>
        <v>0.78539816339744828</v>
      </c>
      <c r="Z91">
        <f t="shared" si="23"/>
        <v>0.78539816339744828</v>
      </c>
      <c r="AA91">
        <f t="shared" si="23"/>
        <v>0.78539816339744828</v>
      </c>
      <c r="AB91">
        <f t="shared" si="23"/>
        <v>0.78539816339744828</v>
      </c>
    </row>
    <row r="92" spans="14:28" x14ac:dyDescent="0.3">
      <c r="N92">
        <f t="shared" si="20"/>
        <v>50000</v>
      </c>
      <c r="O92">
        <f t="shared" si="15"/>
        <v>0.78539816339744828</v>
      </c>
      <c r="P92">
        <f t="shared" si="23"/>
        <v>0.78539816339744828</v>
      </c>
      <c r="Q92">
        <f t="shared" si="23"/>
        <v>0.78539816339744828</v>
      </c>
      <c r="R92">
        <f t="shared" si="23"/>
        <v>0.78539816339744828</v>
      </c>
      <c r="S92">
        <f t="shared" si="23"/>
        <v>0.78539816339744828</v>
      </c>
      <c r="T92">
        <f t="shared" si="23"/>
        <v>0.78539816339744828</v>
      </c>
      <c r="U92">
        <f t="shared" si="23"/>
        <v>0.78539816339744828</v>
      </c>
      <c r="V92">
        <f t="shared" si="23"/>
        <v>0.78539816339744828</v>
      </c>
      <c r="W92">
        <f t="shared" si="23"/>
        <v>0.78539816339744828</v>
      </c>
      <c r="X92">
        <f t="shared" si="23"/>
        <v>0.78539816339744828</v>
      </c>
      <c r="Y92">
        <f t="shared" si="23"/>
        <v>0.78539816339744828</v>
      </c>
      <c r="Z92">
        <f t="shared" si="23"/>
        <v>0.78539816339744828</v>
      </c>
      <c r="AA92">
        <f t="shared" si="23"/>
        <v>0.78539816339744828</v>
      </c>
      <c r="AB92">
        <f t="shared" si="23"/>
        <v>0.78539816339744828</v>
      </c>
    </row>
    <row r="93" spans="14:28" x14ac:dyDescent="0.3">
      <c r="N93">
        <f t="shared" si="20"/>
        <v>50000</v>
      </c>
      <c r="O93">
        <f t="shared" si="15"/>
        <v>0.78539816339744828</v>
      </c>
      <c r="P93">
        <f t="shared" si="23"/>
        <v>0.78539816339744828</v>
      </c>
      <c r="Q93">
        <f t="shared" si="23"/>
        <v>0.78539816339744828</v>
      </c>
      <c r="R93">
        <f t="shared" si="23"/>
        <v>0.78539816339744828</v>
      </c>
      <c r="S93">
        <f t="shared" si="23"/>
        <v>0.78539816339744828</v>
      </c>
      <c r="T93">
        <f t="shared" si="23"/>
        <v>0.78539816339744828</v>
      </c>
      <c r="U93">
        <f t="shared" si="23"/>
        <v>0.78539816339744828</v>
      </c>
      <c r="V93">
        <f t="shared" si="23"/>
        <v>0.78539816339744828</v>
      </c>
      <c r="W93">
        <f t="shared" si="23"/>
        <v>0.78539816339744828</v>
      </c>
      <c r="X93">
        <f t="shared" si="23"/>
        <v>0.78539816339744828</v>
      </c>
      <c r="Y93">
        <f t="shared" si="23"/>
        <v>0.78539816339744828</v>
      </c>
      <c r="Z93">
        <f t="shared" si="23"/>
        <v>0.78539816339744828</v>
      </c>
      <c r="AA93">
        <f t="shared" si="23"/>
        <v>0.78539816339744828</v>
      </c>
      <c r="AB93">
        <f t="shared" si="23"/>
        <v>0.78539816339744828</v>
      </c>
    </row>
    <row r="94" spans="14:28" x14ac:dyDescent="0.3">
      <c r="N94">
        <f t="shared" si="20"/>
        <v>50000</v>
      </c>
      <c r="O94">
        <f t="shared" si="15"/>
        <v>0.78539816339744828</v>
      </c>
      <c r="P94">
        <f t="shared" si="23"/>
        <v>0.78539816339744828</v>
      </c>
      <c r="Q94">
        <f t="shared" si="23"/>
        <v>0.78539816339744828</v>
      </c>
      <c r="R94">
        <f t="shared" si="23"/>
        <v>0.78539816339744828</v>
      </c>
      <c r="S94">
        <f t="shared" si="23"/>
        <v>0.78539816339744828</v>
      </c>
      <c r="T94">
        <f t="shared" si="23"/>
        <v>0.78539816339744828</v>
      </c>
      <c r="U94">
        <f t="shared" si="23"/>
        <v>0.78539816339744828</v>
      </c>
      <c r="V94">
        <f t="shared" si="23"/>
        <v>0.78539816339744828</v>
      </c>
      <c r="W94">
        <f t="shared" si="23"/>
        <v>0.78539816339744828</v>
      </c>
      <c r="X94">
        <f t="shared" si="23"/>
        <v>0.78539816339744828</v>
      </c>
      <c r="Y94">
        <f t="shared" si="23"/>
        <v>0.78539816339744828</v>
      </c>
      <c r="Z94">
        <f t="shared" si="23"/>
        <v>0.78539816339744828</v>
      </c>
      <c r="AA94">
        <f t="shared" si="23"/>
        <v>0.78539816339744828</v>
      </c>
      <c r="AB94">
        <f t="shared" si="23"/>
        <v>0.78539816339744828</v>
      </c>
    </row>
    <row r="95" spans="14:28" x14ac:dyDescent="0.3">
      <c r="N95">
        <f t="shared" si="20"/>
        <v>50000</v>
      </c>
      <c r="O95">
        <f t="shared" si="15"/>
        <v>0.78539816339744828</v>
      </c>
      <c r="P95">
        <f t="shared" si="23"/>
        <v>0.78539816339744828</v>
      </c>
      <c r="Q95">
        <f t="shared" si="23"/>
        <v>0.78539816339744828</v>
      </c>
      <c r="R95">
        <f t="shared" si="23"/>
        <v>0.78539816339744828</v>
      </c>
      <c r="S95">
        <f t="shared" si="23"/>
        <v>0.78539816339744828</v>
      </c>
      <c r="T95">
        <f t="shared" si="23"/>
        <v>0.78539816339744828</v>
      </c>
      <c r="U95">
        <f t="shared" si="23"/>
        <v>0.78539816339744828</v>
      </c>
      <c r="V95">
        <f t="shared" si="23"/>
        <v>0.78539816339744828</v>
      </c>
      <c r="W95">
        <f t="shared" si="23"/>
        <v>0.78539816339744828</v>
      </c>
      <c r="X95">
        <f t="shared" si="23"/>
        <v>0.78539816339744828</v>
      </c>
      <c r="Y95">
        <f t="shared" si="23"/>
        <v>0.78539816339744828</v>
      </c>
      <c r="Z95">
        <f t="shared" si="23"/>
        <v>0.78539816339744828</v>
      </c>
      <c r="AA95">
        <f t="shared" si="23"/>
        <v>0.78539816339744828</v>
      </c>
      <c r="AB95">
        <f t="shared" si="23"/>
        <v>0.78539816339744828</v>
      </c>
    </row>
    <row r="96" spans="14:28" x14ac:dyDescent="0.3">
      <c r="N96">
        <f t="shared" si="20"/>
        <v>50000</v>
      </c>
      <c r="O96">
        <f t="shared" si="15"/>
        <v>0.78539816339744828</v>
      </c>
      <c r="P96">
        <f t="shared" si="23"/>
        <v>0.78539816339744828</v>
      </c>
      <c r="Q96">
        <f t="shared" si="23"/>
        <v>0.78539816339744828</v>
      </c>
      <c r="R96">
        <f t="shared" si="23"/>
        <v>0.78539816339744828</v>
      </c>
      <c r="S96">
        <f t="shared" si="23"/>
        <v>0.78539816339744828</v>
      </c>
      <c r="T96">
        <f t="shared" si="23"/>
        <v>0.78539816339744828</v>
      </c>
      <c r="U96">
        <f t="shared" si="23"/>
        <v>0.78539816339744828</v>
      </c>
      <c r="V96">
        <f t="shared" si="23"/>
        <v>0.78539816339744828</v>
      </c>
      <c r="W96">
        <f t="shared" si="23"/>
        <v>0.78539816339744828</v>
      </c>
      <c r="X96">
        <f t="shared" si="23"/>
        <v>0.78539816339744828</v>
      </c>
      <c r="Y96">
        <f t="shared" si="23"/>
        <v>0.78539816339744828</v>
      </c>
      <c r="Z96">
        <f t="shared" si="23"/>
        <v>0.78539816339744828</v>
      </c>
      <c r="AA96">
        <f t="shared" si="23"/>
        <v>0.78539816339744828</v>
      </c>
      <c r="AB96">
        <f t="shared" si="23"/>
        <v>0.78539816339744828</v>
      </c>
    </row>
    <row r="97" spans="14:28" x14ac:dyDescent="0.3">
      <c r="N97">
        <f t="shared" si="20"/>
        <v>50000</v>
      </c>
      <c r="O97">
        <f t="shared" si="15"/>
        <v>0.78539816339744828</v>
      </c>
      <c r="P97">
        <f t="shared" si="23"/>
        <v>0.78539816339744828</v>
      </c>
      <c r="Q97">
        <f t="shared" si="23"/>
        <v>0.78539816339744828</v>
      </c>
      <c r="R97">
        <f t="shared" si="23"/>
        <v>0.78539816339744828</v>
      </c>
      <c r="S97">
        <f t="shared" si="23"/>
        <v>0.78539816339744828</v>
      </c>
      <c r="T97">
        <f t="shared" si="23"/>
        <v>0.78539816339744828</v>
      </c>
      <c r="U97">
        <f t="shared" si="23"/>
        <v>0.78539816339744828</v>
      </c>
      <c r="V97">
        <f t="shared" si="23"/>
        <v>0.78539816339744828</v>
      </c>
      <c r="W97">
        <f t="shared" si="23"/>
        <v>0.78539816339744828</v>
      </c>
      <c r="X97">
        <f t="shared" si="23"/>
        <v>0.78539816339744828</v>
      </c>
      <c r="Y97">
        <f t="shared" si="23"/>
        <v>0.78539816339744828</v>
      </c>
      <c r="Z97">
        <f t="shared" si="23"/>
        <v>0.78539816339744828</v>
      </c>
      <c r="AA97">
        <f t="shared" si="23"/>
        <v>0.78539816339744828</v>
      </c>
      <c r="AB97">
        <f t="shared" si="23"/>
        <v>0.78539816339744828</v>
      </c>
    </row>
    <row r="98" spans="14:28" x14ac:dyDescent="0.3">
      <c r="N98">
        <f t="shared" si="20"/>
        <v>50000</v>
      </c>
      <c r="O98">
        <f t="shared" si="15"/>
        <v>0.78539816339744828</v>
      </c>
      <c r="P98">
        <f t="shared" si="23"/>
        <v>0.78539816339744828</v>
      </c>
      <c r="Q98">
        <f t="shared" si="23"/>
        <v>0.78539816339744828</v>
      </c>
      <c r="R98">
        <f t="shared" si="23"/>
        <v>0.78539816339744828</v>
      </c>
      <c r="S98">
        <f t="shared" si="23"/>
        <v>0.78539816339744828</v>
      </c>
      <c r="T98">
        <f t="shared" si="23"/>
        <v>0.78539816339744828</v>
      </c>
      <c r="U98">
        <f t="shared" si="23"/>
        <v>0.78539816339744828</v>
      </c>
      <c r="V98">
        <f t="shared" si="23"/>
        <v>0.78539816339744828</v>
      </c>
      <c r="W98">
        <f t="shared" si="23"/>
        <v>0.78539816339744828</v>
      </c>
      <c r="X98">
        <f t="shared" si="23"/>
        <v>0.78539816339744828</v>
      </c>
      <c r="Y98">
        <f t="shared" si="23"/>
        <v>0.78539816339744828</v>
      </c>
      <c r="Z98">
        <f t="shared" si="23"/>
        <v>0.78539816339744828</v>
      </c>
      <c r="AA98">
        <f t="shared" si="23"/>
        <v>0.78539816339744828</v>
      </c>
      <c r="AB98">
        <f t="shared" si="23"/>
        <v>0.78539816339744828</v>
      </c>
    </row>
    <row r="99" spans="14:28" x14ac:dyDescent="0.3">
      <c r="N99">
        <f t="shared" si="20"/>
        <v>50000</v>
      </c>
      <c r="O99">
        <f t="shared" si="15"/>
        <v>0.78539816339744828</v>
      </c>
      <c r="P99">
        <f t="shared" si="23"/>
        <v>0.78539816339744828</v>
      </c>
      <c r="Q99">
        <f t="shared" si="23"/>
        <v>0.78539816339744828</v>
      </c>
      <c r="R99">
        <f t="shared" si="23"/>
        <v>0.78539816339744828</v>
      </c>
      <c r="S99">
        <f t="shared" si="23"/>
        <v>0.78539816339744828</v>
      </c>
      <c r="T99">
        <f t="shared" si="23"/>
        <v>0.78539816339744828</v>
      </c>
      <c r="U99">
        <f t="shared" si="23"/>
        <v>0.78539816339744828</v>
      </c>
      <c r="V99">
        <f t="shared" si="23"/>
        <v>0.78539816339744828</v>
      </c>
      <c r="W99">
        <f t="shared" si="23"/>
        <v>0.78539816339744828</v>
      </c>
      <c r="X99">
        <f t="shared" si="23"/>
        <v>0.78539816339744828</v>
      </c>
      <c r="Y99">
        <f t="shared" si="23"/>
        <v>0.78539816339744828</v>
      </c>
      <c r="Z99">
        <f t="shared" si="23"/>
        <v>0.78539816339744828</v>
      </c>
      <c r="AA99">
        <f t="shared" si="23"/>
        <v>0.78539816339744828</v>
      </c>
      <c r="AB99">
        <f t="shared" si="23"/>
        <v>0.78539816339744828</v>
      </c>
    </row>
    <row r="100" spans="14:28" x14ac:dyDescent="0.3">
      <c r="N100">
        <f t="shared" si="20"/>
        <v>50000</v>
      </c>
      <c r="O100">
        <f t="shared" si="15"/>
        <v>0.78539816339744828</v>
      </c>
      <c r="P100">
        <f t="shared" si="23"/>
        <v>0.78539816339744828</v>
      </c>
      <c r="Q100">
        <f t="shared" si="23"/>
        <v>0.78539816339744828</v>
      </c>
      <c r="R100">
        <f t="shared" si="23"/>
        <v>0.78539816339744828</v>
      </c>
      <c r="S100">
        <f t="shared" si="23"/>
        <v>0.78539816339744828</v>
      </c>
      <c r="T100">
        <f t="shared" si="23"/>
        <v>0.78539816339744828</v>
      </c>
      <c r="U100">
        <f t="shared" si="23"/>
        <v>0.78539816339744828</v>
      </c>
      <c r="V100">
        <f t="shared" si="23"/>
        <v>0.78539816339744828</v>
      </c>
      <c r="W100">
        <f t="shared" si="23"/>
        <v>0.78539816339744828</v>
      </c>
      <c r="X100">
        <f t="shared" si="23"/>
        <v>0.78539816339744828</v>
      </c>
      <c r="Y100">
        <f t="shared" si="23"/>
        <v>0.78539816339744828</v>
      </c>
      <c r="Z100">
        <f t="shared" si="23"/>
        <v>0.78539816339744828</v>
      </c>
      <c r="AA100">
        <f t="shared" si="23"/>
        <v>0.78539816339744828</v>
      </c>
      <c r="AB100">
        <f t="shared" si="23"/>
        <v>0.78539816339744828</v>
      </c>
    </row>
    <row r="101" spans="14:28" x14ac:dyDescent="0.3">
      <c r="N101">
        <f t="shared" si="20"/>
        <v>50000</v>
      </c>
      <c r="O101">
        <f t="shared" si="15"/>
        <v>0.78539816339744828</v>
      </c>
      <c r="P101">
        <f t="shared" si="23"/>
        <v>0.78539816339744828</v>
      </c>
      <c r="Q101">
        <f t="shared" si="23"/>
        <v>0.78539816339744828</v>
      </c>
      <c r="R101">
        <f t="shared" si="23"/>
        <v>0.78539816339744828</v>
      </c>
      <c r="S101">
        <f t="shared" si="23"/>
        <v>0.78539816339744828</v>
      </c>
      <c r="T101">
        <f t="shared" si="23"/>
        <v>0.78539816339744828</v>
      </c>
      <c r="U101">
        <f t="shared" si="23"/>
        <v>0.78539816339744828</v>
      </c>
      <c r="V101">
        <f t="shared" si="23"/>
        <v>0.78539816339744828</v>
      </c>
      <c r="W101">
        <f t="shared" si="23"/>
        <v>0.78539816339744828</v>
      </c>
      <c r="X101">
        <f t="shared" si="23"/>
        <v>0.78539816339744828</v>
      </c>
      <c r="Y101">
        <f t="shared" si="23"/>
        <v>0.78539816339744828</v>
      </c>
      <c r="Z101">
        <f t="shared" si="23"/>
        <v>0.78539816339744828</v>
      </c>
      <c r="AA101">
        <f t="shared" si="23"/>
        <v>0.78539816339744828</v>
      </c>
      <c r="AB101">
        <f t="shared" si="23"/>
        <v>0.78539816339744828</v>
      </c>
    </row>
    <row r="102" spans="14:28" x14ac:dyDescent="0.3">
      <c r="N102">
        <f t="shared" si="20"/>
        <v>50000</v>
      </c>
      <c r="O102">
        <f t="shared" si="15"/>
        <v>0.78539816339744828</v>
      </c>
      <c r="P102">
        <f t="shared" si="23"/>
        <v>0.78539816339744828</v>
      </c>
      <c r="Q102">
        <f t="shared" si="23"/>
        <v>0.78539816339744828</v>
      </c>
      <c r="R102">
        <f t="shared" si="23"/>
        <v>0.78539816339744828</v>
      </c>
      <c r="S102">
        <f t="shared" si="23"/>
        <v>0.78539816339744828</v>
      </c>
      <c r="T102">
        <f t="shared" si="23"/>
        <v>0.78539816339744828</v>
      </c>
      <c r="U102">
        <f t="shared" ref="P102:AB121" si="24">PI()/4</f>
        <v>0.78539816339744828</v>
      </c>
      <c r="V102">
        <f t="shared" si="24"/>
        <v>0.78539816339744828</v>
      </c>
      <c r="W102">
        <f t="shared" si="24"/>
        <v>0.78539816339744828</v>
      </c>
      <c r="X102">
        <f t="shared" si="24"/>
        <v>0.78539816339744828</v>
      </c>
      <c r="Y102">
        <f t="shared" si="24"/>
        <v>0.78539816339744828</v>
      </c>
      <c r="Z102">
        <f t="shared" si="24"/>
        <v>0.78539816339744828</v>
      </c>
      <c r="AA102">
        <f t="shared" si="24"/>
        <v>0.78539816339744828</v>
      </c>
      <c r="AB102">
        <f t="shared" si="24"/>
        <v>0.78539816339744828</v>
      </c>
    </row>
    <row r="103" spans="14:28" x14ac:dyDescent="0.3">
      <c r="N103">
        <f t="shared" si="20"/>
        <v>50000</v>
      </c>
      <c r="O103">
        <f t="shared" si="15"/>
        <v>0.78539816339744828</v>
      </c>
      <c r="P103">
        <f t="shared" si="24"/>
        <v>0.78539816339744828</v>
      </c>
      <c r="Q103">
        <f t="shared" si="24"/>
        <v>0.78539816339744828</v>
      </c>
      <c r="R103">
        <f t="shared" si="24"/>
        <v>0.78539816339744828</v>
      </c>
      <c r="S103">
        <f t="shared" si="24"/>
        <v>0.78539816339744828</v>
      </c>
      <c r="T103">
        <f t="shared" si="24"/>
        <v>0.78539816339744828</v>
      </c>
      <c r="U103">
        <f t="shared" si="24"/>
        <v>0.78539816339744828</v>
      </c>
      <c r="V103">
        <f t="shared" si="24"/>
        <v>0.78539816339744828</v>
      </c>
      <c r="W103">
        <f t="shared" si="24"/>
        <v>0.78539816339744828</v>
      </c>
      <c r="X103">
        <f t="shared" si="24"/>
        <v>0.78539816339744828</v>
      </c>
      <c r="Y103">
        <f t="shared" si="24"/>
        <v>0.78539816339744828</v>
      </c>
      <c r="Z103">
        <f t="shared" si="24"/>
        <v>0.78539816339744828</v>
      </c>
      <c r="AA103">
        <f t="shared" si="24"/>
        <v>0.78539816339744828</v>
      </c>
      <c r="AB103">
        <f t="shared" si="24"/>
        <v>0.78539816339744828</v>
      </c>
    </row>
    <row r="104" spans="14:28" x14ac:dyDescent="0.3">
      <c r="N104">
        <f t="shared" si="20"/>
        <v>50000</v>
      </c>
      <c r="O104">
        <f t="shared" si="15"/>
        <v>0.78539816339744828</v>
      </c>
      <c r="P104">
        <f t="shared" si="24"/>
        <v>0.78539816339744828</v>
      </c>
      <c r="Q104">
        <f t="shared" si="24"/>
        <v>0.78539816339744828</v>
      </c>
      <c r="R104">
        <f t="shared" si="24"/>
        <v>0.78539816339744828</v>
      </c>
      <c r="S104">
        <f t="shared" si="24"/>
        <v>0.78539816339744828</v>
      </c>
      <c r="T104">
        <f t="shared" si="24"/>
        <v>0.78539816339744828</v>
      </c>
      <c r="U104">
        <f t="shared" si="24"/>
        <v>0.78539816339744828</v>
      </c>
      <c r="V104">
        <f t="shared" si="24"/>
        <v>0.78539816339744828</v>
      </c>
      <c r="W104">
        <f t="shared" si="24"/>
        <v>0.78539816339744828</v>
      </c>
      <c r="X104">
        <f t="shared" si="24"/>
        <v>0.78539816339744828</v>
      </c>
      <c r="Y104">
        <f t="shared" si="24"/>
        <v>0.78539816339744828</v>
      </c>
      <c r="Z104">
        <f t="shared" si="24"/>
        <v>0.78539816339744828</v>
      </c>
      <c r="AA104">
        <f t="shared" si="24"/>
        <v>0.78539816339744828</v>
      </c>
      <c r="AB104">
        <f t="shared" si="24"/>
        <v>0.78539816339744828</v>
      </c>
    </row>
    <row r="105" spans="14:28" x14ac:dyDescent="0.3">
      <c r="N105">
        <f t="shared" si="20"/>
        <v>50000</v>
      </c>
      <c r="O105">
        <f t="shared" si="15"/>
        <v>0.78539816339744828</v>
      </c>
      <c r="P105">
        <f t="shared" si="24"/>
        <v>0.78539816339744828</v>
      </c>
      <c r="Q105">
        <f t="shared" si="24"/>
        <v>0.78539816339744828</v>
      </c>
      <c r="R105">
        <f t="shared" si="24"/>
        <v>0.78539816339744828</v>
      </c>
      <c r="S105">
        <f t="shared" si="24"/>
        <v>0.78539816339744828</v>
      </c>
      <c r="T105">
        <f t="shared" si="24"/>
        <v>0.78539816339744828</v>
      </c>
      <c r="U105">
        <f t="shared" si="24"/>
        <v>0.78539816339744828</v>
      </c>
      <c r="V105">
        <f t="shared" si="24"/>
        <v>0.78539816339744828</v>
      </c>
      <c r="W105">
        <f t="shared" si="24"/>
        <v>0.78539816339744828</v>
      </c>
      <c r="X105">
        <f t="shared" si="24"/>
        <v>0.78539816339744828</v>
      </c>
      <c r="Y105">
        <f t="shared" si="24"/>
        <v>0.78539816339744828</v>
      </c>
      <c r="Z105">
        <f t="shared" si="24"/>
        <v>0.78539816339744828</v>
      </c>
      <c r="AA105">
        <f t="shared" si="24"/>
        <v>0.78539816339744828</v>
      </c>
      <c r="AB105">
        <f t="shared" si="24"/>
        <v>0.78539816339744828</v>
      </c>
    </row>
    <row r="106" spans="14:28" x14ac:dyDescent="0.3">
      <c r="N106">
        <f t="shared" si="20"/>
        <v>50000</v>
      </c>
      <c r="O106">
        <f t="shared" si="15"/>
        <v>0.78539816339744828</v>
      </c>
      <c r="P106">
        <f t="shared" si="24"/>
        <v>0.78539816339744828</v>
      </c>
      <c r="Q106">
        <f t="shared" si="24"/>
        <v>0.78539816339744828</v>
      </c>
      <c r="R106">
        <f t="shared" si="24"/>
        <v>0.78539816339744828</v>
      </c>
      <c r="S106">
        <f t="shared" si="24"/>
        <v>0.78539816339744828</v>
      </c>
      <c r="T106">
        <f t="shared" si="24"/>
        <v>0.78539816339744828</v>
      </c>
      <c r="U106">
        <f t="shared" si="24"/>
        <v>0.78539816339744828</v>
      </c>
      <c r="V106">
        <f t="shared" si="24"/>
        <v>0.78539816339744828</v>
      </c>
      <c r="W106">
        <f t="shared" si="24"/>
        <v>0.78539816339744828</v>
      </c>
      <c r="X106">
        <f t="shared" si="24"/>
        <v>0.78539816339744828</v>
      </c>
      <c r="Y106">
        <f t="shared" si="24"/>
        <v>0.78539816339744828</v>
      </c>
      <c r="Z106">
        <f t="shared" si="24"/>
        <v>0.78539816339744828</v>
      </c>
      <c r="AA106">
        <f t="shared" si="24"/>
        <v>0.78539816339744828</v>
      </c>
      <c r="AB106">
        <f t="shared" si="24"/>
        <v>0.78539816339744828</v>
      </c>
    </row>
    <row r="107" spans="14:28" x14ac:dyDescent="0.3">
      <c r="N107">
        <f t="shared" si="20"/>
        <v>50000</v>
      </c>
      <c r="O107">
        <f t="shared" si="15"/>
        <v>0.78539816339744828</v>
      </c>
      <c r="P107">
        <f t="shared" si="24"/>
        <v>0.78539816339744828</v>
      </c>
      <c r="Q107">
        <f t="shared" si="24"/>
        <v>0.78539816339744828</v>
      </c>
      <c r="R107">
        <f t="shared" si="24"/>
        <v>0.78539816339744828</v>
      </c>
      <c r="S107">
        <f t="shared" si="24"/>
        <v>0.78539816339744828</v>
      </c>
      <c r="T107">
        <f t="shared" si="24"/>
        <v>0.78539816339744828</v>
      </c>
      <c r="U107">
        <f t="shared" si="24"/>
        <v>0.78539816339744828</v>
      </c>
      <c r="V107">
        <f t="shared" si="24"/>
        <v>0.78539816339744828</v>
      </c>
      <c r="W107">
        <f t="shared" si="24"/>
        <v>0.78539816339744828</v>
      </c>
      <c r="X107">
        <f t="shared" si="24"/>
        <v>0.78539816339744828</v>
      </c>
      <c r="Y107">
        <f t="shared" si="24"/>
        <v>0.78539816339744828</v>
      </c>
      <c r="Z107">
        <f t="shared" si="24"/>
        <v>0.78539816339744828</v>
      </c>
      <c r="AA107">
        <f t="shared" si="24"/>
        <v>0.78539816339744828</v>
      </c>
      <c r="AB107">
        <f t="shared" si="24"/>
        <v>0.78539816339744828</v>
      </c>
    </row>
    <row r="108" spans="14:28" x14ac:dyDescent="0.3">
      <c r="N108">
        <f t="shared" si="20"/>
        <v>50000</v>
      </c>
      <c r="O108">
        <f t="shared" si="15"/>
        <v>0.78539816339744828</v>
      </c>
      <c r="P108">
        <f t="shared" si="24"/>
        <v>0.78539816339744828</v>
      </c>
      <c r="Q108">
        <f t="shared" si="24"/>
        <v>0.78539816339744828</v>
      </c>
      <c r="R108">
        <f t="shared" si="24"/>
        <v>0.78539816339744828</v>
      </c>
      <c r="S108">
        <f t="shared" si="24"/>
        <v>0.78539816339744828</v>
      </c>
      <c r="T108">
        <f t="shared" si="24"/>
        <v>0.78539816339744828</v>
      </c>
      <c r="U108">
        <f t="shared" si="24"/>
        <v>0.78539816339744828</v>
      </c>
      <c r="V108">
        <f t="shared" si="24"/>
        <v>0.78539816339744828</v>
      </c>
      <c r="W108">
        <f t="shared" si="24"/>
        <v>0.78539816339744828</v>
      </c>
      <c r="X108">
        <f t="shared" si="24"/>
        <v>0.78539816339744828</v>
      </c>
      <c r="Y108">
        <f t="shared" si="24"/>
        <v>0.78539816339744828</v>
      </c>
      <c r="Z108">
        <f t="shared" si="24"/>
        <v>0.78539816339744828</v>
      </c>
      <c r="AA108">
        <f t="shared" si="24"/>
        <v>0.78539816339744828</v>
      </c>
      <c r="AB108">
        <f t="shared" si="24"/>
        <v>0.78539816339744828</v>
      </c>
    </row>
    <row r="109" spans="14:28" x14ac:dyDescent="0.3">
      <c r="N109">
        <f t="shared" si="20"/>
        <v>50000</v>
      </c>
      <c r="O109">
        <f t="shared" si="15"/>
        <v>0.78539816339744828</v>
      </c>
      <c r="P109">
        <f t="shared" si="24"/>
        <v>0.78539816339744828</v>
      </c>
      <c r="Q109">
        <f t="shared" si="24"/>
        <v>0.78539816339744828</v>
      </c>
      <c r="R109">
        <f t="shared" si="24"/>
        <v>0.78539816339744828</v>
      </c>
      <c r="S109">
        <f t="shared" si="24"/>
        <v>0.78539816339744828</v>
      </c>
      <c r="T109">
        <f t="shared" si="24"/>
        <v>0.78539816339744828</v>
      </c>
      <c r="U109">
        <f t="shared" si="24"/>
        <v>0.78539816339744828</v>
      </c>
      <c r="V109">
        <f t="shared" si="24"/>
        <v>0.78539816339744828</v>
      </c>
      <c r="W109">
        <f t="shared" si="24"/>
        <v>0.78539816339744828</v>
      </c>
      <c r="X109">
        <f t="shared" si="24"/>
        <v>0.78539816339744828</v>
      </c>
      <c r="Y109">
        <f t="shared" si="24"/>
        <v>0.78539816339744828</v>
      </c>
      <c r="Z109">
        <f t="shared" si="24"/>
        <v>0.78539816339744828</v>
      </c>
      <c r="AA109">
        <f t="shared" si="24"/>
        <v>0.78539816339744828</v>
      </c>
      <c r="AB109">
        <f t="shared" si="24"/>
        <v>0.78539816339744828</v>
      </c>
    </row>
    <row r="110" spans="14:28" x14ac:dyDescent="0.3">
      <c r="N110">
        <f t="shared" si="20"/>
        <v>50000</v>
      </c>
      <c r="O110">
        <f t="shared" si="15"/>
        <v>0.78539816339744828</v>
      </c>
      <c r="P110">
        <f t="shared" si="24"/>
        <v>0.78539816339744828</v>
      </c>
      <c r="Q110">
        <f t="shared" si="24"/>
        <v>0.78539816339744828</v>
      </c>
      <c r="R110">
        <f t="shared" si="24"/>
        <v>0.78539816339744828</v>
      </c>
      <c r="S110">
        <f t="shared" si="24"/>
        <v>0.78539816339744828</v>
      </c>
      <c r="T110">
        <f t="shared" si="24"/>
        <v>0.78539816339744828</v>
      </c>
      <c r="U110">
        <f t="shared" si="24"/>
        <v>0.78539816339744828</v>
      </c>
      <c r="V110">
        <f t="shared" si="24"/>
        <v>0.78539816339744828</v>
      </c>
      <c r="W110">
        <f t="shared" si="24"/>
        <v>0.78539816339744828</v>
      </c>
      <c r="X110">
        <f t="shared" si="24"/>
        <v>0.78539816339744828</v>
      </c>
      <c r="Y110">
        <f t="shared" si="24"/>
        <v>0.78539816339744828</v>
      </c>
      <c r="Z110">
        <f t="shared" si="24"/>
        <v>0.78539816339744828</v>
      </c>
      <c r="AA110">
        <f t="shared" si="24"/>
        <v>0.78539816339744828</v>
      </c>
      <c r="AB110">
        <f t="shared" si="24"/>
        <v>0.78539816339744828</v>
      </c>
    </row>
    <row r="111" spans="14:28" x14ac:dyDescent="0.3">
      <c r="N111">
        <f t="shared" si="20"/>
        <v>50000</v>
      </c>
      <c r="O111">
        <f t="shared" si="15"/>
        <v>0.78539816339744828</v>
      </c>
      <c r="P111">
        <f t="shared" si="24"/>
        <v>0.78539816339744828</v>
      </c>
      <c r="Q111">
        <f t="shared" si="24"/>
        <v>0.78539816339744828</v>
      </c>
      <c r="R111">
        <f t="shared" si="24"/>
        <v>0.78539816339744828</v>
      </c>
      <c r="S111">
        <f t="shared" si="24"/>
        <v>0.78539816339744828</v>
      </c>
      <c r="T111">
        <f t="shared" si="24"/>
        <v>0.78539816339744828</v>
      </c>
      <c r="U111">
        <f t="shared" si="24"/>
        <v>0.78539816339744828</v>
      </c>
      <c r="V111">
        <f t="shared" si="24"/>
        <v>0.78539816339744828</v>
      </c>
      <c r="W111">
        <f t="shared" si="24"/>
        <v>0.78539816339744828</v>
      </c>
      <c r="X111">
        <f t="shared" si="24"/>
        <v>0.78539816339744828</v>
      </c>
      <c r="Y111">
        <f t="shared" si="24"/>
        <v>0.78539816339744828</v>
      </c>
      <c r="Z111">
        <f t="shared" si="24"/>
        <v>0.78539816339744828</v>
      </c>
      <c r="AA111">
        <f t="shared" si="24"/>
        <v>0.78539816339744828</v>
      </c>
      <c r="AB111">
        <f t="shared" si="24"/>
        <v>0.78539816339744828</v>
      </c>
    </row>
    <row r="112" spans="14:28" x14ac:dyDescent="0.3">
      <c r="N112">
        <f t="shared" si="20"/>
        <v>50000</v>
      </c>
      <c r="O112">
        <f t="shared" si="15"/>
        <v>0.78539816339744828</v>
      </c>
      <c r="P112">
        <f t="shared" si="24"/>
        <v>0.78539816339744828</v>
      </c>
      <c r="Q112">
        <f t="shared" si="24"/>
        <v>0.78539816339744828</v>
      </c>
      <c r="R112">
        <f t="shared" si="24"/>
        <v>0.78539816339744828</v>
      </c>
      <c r="S112">
        <f t="shared" si="24"/>
        <v>0.78539816339744828</v>
      </c>
      <c r="T112">
        <f t="shared" si="24"/>
        <v>0.78539816339744828</v>
      </c>
      <c r="U112">
        <f t="shared" si="24"/>
        <v>0.78539816339744828</v>
      </c>
      <c r="V112">
        <f t="shared" si="24"/>
        <v>0.78539816339744828</v>
      </c>
      <c r="W112">
        <f t="shared" si="24"/>
        <v>0.78539816339744828</v>
      </c>
      <c r="X112">
        <f t="shared" si="24"/>
        <v>0.78539816339744828</v>
      </c>
      <c r="Y112">
        <f t="shared" si="24"/>
        <v>0.78539816339744828</v>
      </c>
      <c r="Z112">
        <f t="shared" si="24"/>
        <v>0.78539816339744828</v>
      </c>
      <c r="AA112">
        <f t="shared" si="24"/>
        <v>0.78539816339744828</v>
      </c>
      <c r="AB112">
        <f t="shared" si="24"/>
        <v>0.78539816339744828</v>
      </c>
    </row>
    <row r="113" spans="14:28" x14ac:dyDescent="0.3">
      <c r="N113">
        <f t="shared" si="20"/>
        <v>50000</v>
      </c>
      <c r="O113">
        <f t="shared" si="15"/>
        <v>0.78539816339744828</v>
      </c>
      <c r="P113">
        <f t="shared" si="24"/>
        <v>0.78539816339744828</v>
      </c>
      <c r="Q113">
        <f t="shared" si="24"/>
        <v>0.78539816339744828</v>
      </c>
      <c r="R113">
        <f t="shared" si="24"/>
        <v>0.78539816339744828</v>
      </c>
      <c r="S113">
        <f t="shared" si="24"/>
        <v>0.78539816339744828</v>
      </c>
      <c r="T113">
        <f t="shared" si="24"/>
        <v>0.78539816339744828</v>
      </c>
      <c r="U113">
        <f t="shared" si="24"/>
        <v>0.78539816339744828</v>
      </c>
      <c r="V113">
        <f t="shared" si="24"/>
        <v>0.78539816339744828</v>
      </c>
      <c r="W113">
        <f t="shared" si="24"/>
        <v>0.78539816339744828</v>
      </c>
      <c r="X113">
        <f t="shared" si="24"/>
        <v>0.78539816339744828</v>
      </c>
      <c r="Y113">
        <f t="shared" si="24"/>
        <v>0.78539816339744828</v>
      </c>
      <c r="Z113">
        <f t="shared" si="24"/>
        <v>0.78539816339744828</v>
      </c>
      <c r="AA113">
        <f t="shared" si="24"/>
        <v>0.78539816339744828</v>
      </c>
      <c r="AB113">
        <f t="shared" si="24"/>
        <v>0.78539816339744828</v>
      </c>
    </row>
    <row r="114" spans="14:28" x14ac:dyDescent="0.3">
      <c r="N114">
        <f t="shared" si="20"/>
        <v>50000</v>
      </c>
      <c r="O114">
        <f t="shared" si="15"/>
        <v>0.78539816339744828</v>
      </c>
      <c r="P114">
        <f t="shared" si="24"/>
        <v>0.78539816339744828</v>
      </c>
      <c r="Q114">
        <f t="shared" si="24"/>
        <v>0.78539816339744828</v>
      </c>
      <c r="R114">
        <f t="shared" si="24"/>
        <v>0.78539816339744828</v>
      </c>
      <c r="S114">
        <f t="shared" si="24"/>
        <v>0.78539816339744828</v>
      </c>
      <c r="T114">
        <f t="shared" si="24"/>
        <v>0.78539816339744828</v>
      </c>
      <c r="U114">
        <f t="shared" si="24"/>
        <v>0.78539816339744828</v>
      </c>
      <c r="V114">
        <f t="shared" si="24"/>
        <v>0.78539816339744828</v>
      </c>
      <c r="W114">
        <f t="shared" si="24"/>
        <v>0.78539816339744828</v>
      </c>
      <c r="X114">
        <f t="shared" si="24"/>
        <v>0.78539816339744828</v>
      </c>
      <c r="Y114">
        <f t="shared" si="24"/>
        <v>0.78539816339744828</v>
      </c>
      <c r="Z114">
        <f t="shared" si="24"/>
        <v>0.78539816339744828</v>
      </c>
      <c r="AA114">
        <f t="shared" si="24"/>
        <v>0.78539816339744828</v>
      </c>
      <c r="AB114">
        <f t="shared" si="24"/>
        <v>0.78539816339744828</v>
      </c>
    </row>
    <row r="115" spans="14:28" x14ac:dyDescent="0.3">
      <c r="N115">
        <f t="shared" si="20"/>
        <v>50000</v>
      </c>
      <c r="O115">
        <f t="shared" si="15"/>
        <v>0.78539816339744828</v>
      </c>
      <c r="P115">
        <f t="shared" si="24"/>
        <v>0.78539816339744828</v>
      </c>
      <c r="Q115">
        <f t="shared" si="24"/>
        <v>0.78539816339744828</v>
      </c>
      <c r="R115">
        <f t="shared" si="24"/>
        <v>0.78539816339744828</v>
      </c>
      <c r="S115">
        <f t="shared" si="24"/>
        <v>0.78539816339744828</v>
      </c>
      <c r="T115">
        <f t="shared" si="24"/>
        <v>0.78539816339744828</v>
      </c>
      <c r="U115">
        <f t="shared" si="24"/>
        <v>0.78539816339744828</v>
      </c>
      <c r="V115">
        <f t="shared" si="24"/>
        <v>0.78539816339744828</v>
      </c>
      <c r="W115">
        <f t="shared" si="24"/>
        <v>0.78539816339744828</v>
      </c>
      <c r="X115">
        <f t="shared" si="24"/>
        <v>0.78539816339744828</v>
      </c>
      <c r="Y115">
        <f t="shared" si="24"/>
        <v>0.78539816339744828</v>
      </c>
      <c r="Z115">
        <f t="shared" si="24"/>
        <v>0.78539816339744828</v>
      </c>
      <c r="AA115">
        <f t="shared" si="24"/>
        <v>0.78539816339744828</v>
      </c>
      <c r="AB115">
        <f t="shared" si="24"/>
        <v>0.78539816339744828</v>
      </c>
    </row>
    <row r="116" spans="14:28" x14ac:dyDescent="0.3">
      <c r="N116">
        <f t="shared" si="20"/>
        <v>50000</v>
      </c>
      <c r="O116">
        <f t="shared" si="15"/>
        <v>0.78539816339744828</v>
      </c>
      <c r="P116">
        <f t="shared" si="24"/>
        <v>0.78539816339744828</v>
      </c>
      <c r="Q116">
        <f t="shared" si="24"/>
        <v>0.78539816339744828</v>
      </c>
      <c r="R116">
        <f t="shared" si="24"/>
        <v>0.78539816339744828</v>
      </c>
      <c r="S116">
        <f t="shared" si="24"/>
        <v>0.78539816339744828</v>
      </c>
      <c r="T116">
        <f t="shared" si="24"/>
        <v>0.78539816339744828</v>
      </c>
      <c r="U116">
        <f t="shared" si="24"/>
        <v>0.78539816339744828</v>
      </c>
      <c r="V116">
        <f t="shared" si="24"/>
        <v>0.78539816339744828</v>
      </c>
      <c r="W116">
        <f t="shared" si="24"/>
        <v>0.78539816339744828</v>
      </c>
      <c r="X116">
        <f t="shared" si="24"/>
        <v>0.78539816339744828</v>
      </c>
      <c r="Y116">
        <f t="shared" si="24"/>
        <v>0.78539816339744828</v>
      </c>
      <c r="Z116">
        <f t="shared" si="24"/>
        <v>0.78539816339744828</v>
      </c>
      <c r="AA116">
        <f t="shared" si="24"/>
        <v>0.78539816339744828</v>
      </c>
      <c r="AB116">
        <f t="shared" si="24"/>
        <v>0.78539816339744828</v>
      </c>
    </row>
    <row r="117" spans="14:28" x14ac:dyDescent="0.3">
      <c r="N117">
        <f t="shared" si="20"/>
        <v>50000</v>
      </c>
      <c r="O117">
        <f t="shared" si="15"/>
        <v>0.78539816339744828</v>
      </c>
      <c r="P117">
        <f t="shared" si="24"/>
        <v>0.78539816339744828</v>
      </c>
      <c r="Q117">
        <f t="shared" si="24"/>
        <v>0.78539816339744828</v>
      </c>
      <c r="R117">
        <f t="shared" si="24"/>
        <v>0.78539816339744828</v>
      </c>
      <c r="S117">
        <f t="shared" si="24"/>
        <v>0.78539816339744828</v>
      </c>
      <c r="T117">
        <f t="shared" si="24"/>
        <v>0.78539816339744828</v>
      </c>
      <c r="U117">
        <f t="shared" si="24"/>
        <v>0.78539816339744828</v>
      </c>
      <c r="V117">
        <f t="shared" si="24"/>
        <v>0.78539816339744828</v>
      </c>
      <c r="W117">
        <f t="shared" si="24"/>
        <v>0.78539816339744828</v>
      </c>
      <c r="X117">
        <f t="shared" si="24"/>
        <v>0.78539816339744828</v>
      </c>
      <c r="Y117">
        <f t="shared" si="24"/>
        <v>0.78539816339744828</v>
      </c>
      <c r="Z117">
        <f t="shared" si="24"/>
        <v>0.78539816339744828</v>
      </c>
      <c r="AA117">
        <f t="shared" si="24"/>
        <v>0.78539816339744828</v>
      </c>
      <c r="AB117">
        <f t="shared" si="24"/>
        <v>0.78539816339744828</v>
      </c>
    </row>
    <row r="118" spans="14:28" x14ac:dyDescent="0.3">
      <c r="N118">
        <f t="shared" si="20"/>
        <v>50000</v>
      </c>
      <c r="O118">
        <f t="shared" si="15"/>
        <v>0.78539816339744828</v>
      </c>
      <c r="P118">
        <f t="shared" si="24"/>
        <v>0.78539816339744828</v>
      </c>
      <c r="Q118">
        <f t="shared" si="24"/>
        <v>0.78539816339744828</v>
      </c>
      <c r="R118">
        <f t="shared" si="24"/>
        <v>0.78539816339744828</v>
      </c>
      <c r="S118">
        <f t="shared" si="24"/>
        <v>0.78539816339744828</v>
      </c>
      <c r="T118">
        <f t="shared" si="24"/>
        <v>0.78539816339744828</v>
      </c>
      <c r="U118">
        <f t="shared" si="24"/>
        <v>0.78539816339744828</v>
      </c>
      <c r="V118">
        <f t="shared" si="24"/>
        <v>0.78539816339744828</v>
      </c>
      <c r="W118">
        <f t="shared" si="24"/>
        <v>0.78539816339744828</v>
      </c>
      <c r="X118">
        <f t="shared" si="24"/>
        <v>0.78539816339744828</v>
      </c>
      <c r="Y118">
        <f t="shared" si="24"/>
        <v>0.78539816339744828</v>
      </c>
      <c r="Z118">
        <f t="shared" si="24"/>
        <v>0.78539816339744828</v>
      </c>
      <c r="AA118">
        <f t="shared" si="24"/>
        <v>0.78539816339744828</v>
      </c>
      <c r="AB118">
        <f t="shared" si="24"/>
        <v>0.78539816339744828</v>
      </c>
    </row>
    <row r="119" spans="14:28" x14ac:dyDescent="0.3">
      <c r="N119">
        <f t="shared" si="20"/>
        <v>50000</v>
      </c>
      <c r="O119">
        <f t="shared" si="15"/>
        <v>0.78539816339744828</v>
      </c>
      <c r="P119">
        <f t="shared" si="24"/>
        <v>0.78539816339744828</v>
      </c>
      <c r="Q119">
        <f t="shared" si="24"/>
        <v>0.78539816339744828</v>
      </c>
      <c r="R119">
        <f t="shared" si="24"/>
        <v>0.78539816339744828</v>
      </c>
      <c r="S119">
        <f t="shared" si="24"/>
        <v>0.78539816339744828</v>
      </c>
      <c r="T119">
        <f t="shared" si="24"/>
        <v>0.78539816339744828</v>
      </c>
      <c r="U119">
        <f t="shared" si="24"/>
        <v>0.78539816339744828</v>
      </c>
      <c r="V119">
        <f t="shared" si="24"/>
        <v>0.78539816339744828</v>
      </c>
      <c r="W119">
        <f t="shared" si="24"/>
        <v>0.78539816339744828</v>
      </c>
      <c r="X119">
        <f t="shared" si="24"/>
        <v>0.78539816339744828</v>
      </c>
      <c r="Y119">
        <f t="shared" si="24"/>
        <v>0.78539816339744828</v>
      </c>
      <c r="Z119">
        <f t="shared" si="24"/>
        <v>0.78539816339744828</v>
      </c>
      <c r="AA119">
        <f t="shared" si="24"/>
        <v>0.78539816339744828</v>
      </c>
      <c r="AB119">
        <f t="shared" si="24"/>
        <v>0.78539816339744828</v>
      </c>
    </row>
    <row r="120" spans="14:28" x14ac:dyDescent="0.3">
      <c r="N120">
        <f t="shared" si="20"/>
        <v>50000</v>
      </c>
      <c r="O120">
        <f t="shared" si="15"/>
        <v>0.78539816339744828</v>
      </c>
      <c r="P120">
        <f t="shared" si="24"/>
        <v>0.78539816339744828</v>
      </c>
      <c r="Q120">
        <f t="shared" si="24"/>
        <v>0.78539816339744828</v>
      </c>
      <c r="R120">
        <f t="shared" si="24"/>
        <v>0.78539816339744828</v>
      </c>
      <c r="S120">
        <f t="shared" si="24"/>
        <v>0.78539816339744828</v>
      </c>
      <c r="T120">
        <f t="shared" si="24"/>
        <v>0.78539816339744828</v>
      </c>
      <c r="U120">
        <f t="shared" si="24"/>
        <v>0.78539816339744828</v>
      </c>
      <c r="V120">
        <f t="shared" si="24"/>
        <v>0.78539816339744828</v>
      </c>
      <c r="W120">
        <f t="shared" si="24"/>
        <v>0.78539816339744828</v>
      </c>
      <c r="X120">
        <f t="shared" si="24"/>
        <v>0.78539816339744828</v>
      </c>
      <c r="Y120">
        <f t="shared" si="24"/>
        <v>0.78539816339744828</v>
      </c>
      <c r="Z120">
        <f t="shared" si="24"/>
        <v>0.78539816339744828</v>
      </c>
      <c r="AA120">
        <f t="shared" si="24"/>
        <v>0.78539816339744828</v>
      </c>
      <c r="AB120">
        <f t="shared" si="24"/>
        <v>0.78539816339744828</v>
      </c>
    </row>
    <row r="121" spans="14:28" x14ac:dyDescent="0.3">
      <c r="N121">
        <f t="shared" si="20"/>
        <v>50000</v>
      </c>
      <c r="O121">
        <f t="shared" si="15"/>
        <v>0.78539816339744828</v>
      </c>
      <c r="P121">
        <f t="shared" si="24"/>
        <v>0.78539816339744828</v>
      </c>
      <c r="Q121">
        <f t="shared" si="24"/>
        <v>0.78539816339744828</v>
      </c>
      <c r="R121">
        <f t="shared" si="24"/>
        <v>0.78539816339744828</v>
      </c>
      <c r="S121">
        <f t="shared" si="24"/>
        <v>0.78539816339744828</v>
      </c>
      <c r="T121">
        <f t="shared" si="24"/>
        <v>0.78539816339744828</v>
      </c>
      <c r="U121">
        <f t="shared" si="24"/>
        <v>0.78539816339744828</v>
      </c>
      <c r="V121">
        <f t="shared" si="24"/>
        <v>0.78539816339744828</v>
      </c>
      <c r="W121">
        <f t="shared" si="24"/>
        <v>0.78539816339744828</v>
      </c>
      <c r="X121">
        <f t="shared" si="24"/>
        <v>0.78539816339744828</v>
      </c>
      <c r="Y121">
        <f t="shared" si="24"/>
        <v>0.78539816339744828</v>
      </c>
      <c r="Z121">
        <f t="shared" si="24"/>
        <v>0.78539816339744828</v>
      </c>
      <c r="AA121">
        <f t="shared" si="24"/>
        <v>0.78539816339744828</v>
      </c>
      <c r="AB121">
        <f t="shared" si="24"/>
        <v>0.78539816339744828</v>
      </c>
    </row>
    <row r="122" spans="14:28" x14ac:dyDescent="0.3">
      <c r="N122">
        <f t="shared" si="20"/>
        <v>50000</v>
      </c>
      <c r="O122">
        <f t="shared" si="15"/>
        <v>0.78539816339744828</v>
      </c>
      <c r="P122">
        <f t="shared" si="15"/>
        <v>0.78539816339744828</v>
      </c>
      <c r="Q122">
        <f t="shared" si="15"/>
        <v>0.78539816339744828</v>
      </c>
      <c r="R122">
        <f t="shared" si="15"/>
        <v>0.78539816339744828</v>
      </c>
      <c r="S122">
        <f t="shared" si="15"/>
        <v>0.78539816339744828</v>
      </c>
      <c r="T122">
        <f t="shared" si="15"/>
        <v>0.78539816339744828</v>
      </c>
      <c r="U122">
        <f t="shared" si="15"/>
        <v>0.78539816339744828</v>
      </c>
      <c r="V122">
        <f t="shared" si="15"/>
        <v>0.78539816339744828</v>
      </c>
      <c r="W122">
        <f t="shared" si="15"/>
        <v>0.78539816339744828</v>
      </c>
      <c r="X122">
        <f t="shared" si="15"/>
        <v>0.78539816339744828</v>
      </c>
      <c r="Y122">
        <f t="shared" si="15"/>
        <v>0.78539816339744828</v>
      </c>
      <c r="Z122">
        <f t="shared" si="15"/>
        <v>0.78539816339744828</v>
      </c>
      <c r="AA122">
        <f t="shared" si="15"/>
        <v>0.78539816339744828</v>
      </c>
      <c r="AB122">
        <f t="shared" si="15"/>
        <v>0.78539816339744828</v>
      </c>
    </row>
    <row r="123" spans="14:28" x14ac:dyDescent="0.3">
      <c r="N123">
        <f t="shared" si="20"/>
        <v>50000</v>
      </c>
      <c r="O123">
        <f t="shared" ref="O123:AB141" si="25">PI()/4</f>
        <v>0.78539816339744828</v>
      </c>
      <c r="P123">
        <f t="shared" si="25"/>
        <v>0.78539816339744828</v>
      </c>
      <c r="Q123">
        <f t="shared" si="25"/>
        <v>0.78539816339744828</v>
      </c>
      <c r="R123">
        <f t="shared" si="25"/>
        <v>0.78539816339744828</v>
      </c>
      <c r="S123">
        <f t="shared" si="25"/>
        <v>0.78539816339744828</v>
      </c>
      <c r="T123">
        <f t="shared" si="25"/>
        <v>0.78539816339744828</v>
      </c>
      <c r="U123">
        <f t="shared" si="25"/>
        <v>0.78539816339744828</v>
      </c>
      <c r="V123">
        <f t="shared" si="25"/>
        <v>0.78539816339744828</v>
      </c>
      <c r="W123">
        <f t="shared" si="25"/>
        <v>0.78539816339744828</v>
      </c>
      <c r="X123">
        <f t="shared" si="25"/>
        <v>0.78539816339744828</v>
      </c>
      <c r="Y123">
        <f t="shared" si="25"/>
        <v>0.78539816339744828</v>
      </c>
      <c r="Z123">
        <f t="shared" si="25"/>
        <v>0.78539816339744828</v>
      </c>
      <c r="AA123">
        <f t="shared" si="25"/>
        <v>0.78539816339744828</v>
      </c>
      <c r="AB123">
        <f t="shared" si="25"/>
        <v>0.78539816339744828</v>
      </c>
    </row>
    <row r="124" spans="14:28" x14ac:dyDescent="0.3">
      <c r="N124">
        <f t="shared" si="20"/>
        <v>50000</v>
      </c>
      <c r="O124">
        <f t="shared" si="25"/>
        <v>0.78539816339744828</v>
      </c>
      <c r="P124">
        <f t="shared" si="25"/>
        <v>0.78539816339744828</v>
      </c>
      <c r="Q124">
        <f t="shared" si="25"/>
        <v>0.78539816339744828</v>
      </c>
      <c r="R124">
        <f t="shared" si="25"/>
        <v>0.78539816339744828</v>
      </c>
      <c r="S124">
        <f t="shared" si="25"/>
        <v>0.78539816339744828</v>
      </c>
      <c r="T124">
        <f t="shared" si="25"/>
        <v>0.78539816339744828</v>
      </c>
      <c r="U124">
        <f t="shared" si="25"/>
        <v>0.78539816339744828</v>
      </c>
      <c r="V124">
        <f t="shared" si="25"/>
        <v>0.78539816339744828</v>
      </c>
      <c r="W124">
        <f t="shared" si="25"/>
        <v>0.78539816339744828</v>
      </c>
      <c r="X124">
        <f t="shared" si="25"/>
        <v>0.78539816339744828</v>
      </c>
      <c r="Y124">
        <f t="shared" si="25"/>
        <v>0.78539816339744828</v>
      </c>
      <c r="Z124">
        <f t="shared" si="25"/>
        <v>0.78539816339744828</v>
      </c>
      <c r="AA124">
        <f t="shared" si="25"/>
        <v>0.78539816339744828</v>
      </c>
      <c r="AB124">
        <f t="shared" si="25"/>
        <v>0.78539816339744828</v>
      </c>
    </row>
    <row r="125" spans="14:28" x14ac:dyDescent="0.3">
      <c r="N125">
        <f t="shared" si="20"/>
        <v>50000</v>
      </c>
      <c r="O125">
        <f t="shared" si="25"/>
        <v>0.78539816339744828</v>
      </c>
      <c r="P125">
        <f t="shared" si="25"/>
        <v>0.78539816339744828</v>
      </c>
      <c r="Q125">
        <f t="shared" si="25"/>
        <v>0.78539816339744828</v>
      </c>
      <c r="R125">
        <f t="shared" si="25"/>
        <v>0.78539816339744828</v>
      </c>
      <c r="S125">
        <f t="shared" si="25"/>
        <v>0.78539816339744828</v>
      </c>
      <c r="T125">
        <f t="shared" si="25"/>
        <v>0.78539816339744828</v>
      </c>
      <c r="U125">
        <f t="shared" si="25"/>
        <v>0.78539816339744828</v>
      </c>
      <c r="V125">
        <f t="shared" si="25"/>
        <v>0.78539816339744828</v>
      </c>
      <c r="W125">
        <f t="shared" si="25"/>
        <v>0.78539816339744828</v>
      </c>
      <c r="X125">
        <f t="shared" si="25"/>
        <v>0.78539816339744828</v>
      </c>
      <c r="Y125">
        <f t="shared" si="25"/>
        <v>0.78539816339744828</v>
      </c>
      <c r="Z125">
        <f t="shared" si="25"/>
        <v>0.78539816339744828</v>
      </c>
      <c r="AA125">
        <f t="shared" si="25"/>
        <v>0.78539816339744828</v>
      </c>
      <c r="AB125">
        <f t="shared" si="25"/>
        <v>0.78539816339744828</v>
      </c>
    </row>
    <row r="126" spans="14:28" x14ac:dyDescent="0.3">
      <c r="N126">
        <f t="shared" si="20"/>
        <v>50000</v>
      </c>
      <c r="O126">
        <f t="shared" si="25"/>
        <v>0.78539816339744828</v>
      </c>
      <c r="P126">
        <f t="shared" si="25"/>
        <v>0.78539816339744828</v>
      </c>
      <c r="Q126">
        <f t="shared" si="25"/>
        <v>0.78539816339744828</v>
      </c>
      <c r="R126">
        <f t="shared" si="25"/>
        <v>0.78539816339744828</v>
      </c>
      <c r="S126">
        <f t="shared" si="25"/>
        <v>0.78539816339744828</v>
      </c>
      <c r="T126">
        <f t="shared" si="25"/>
        <v>0.78539816339744828</v>
      </c>
      <c r="U126">
        <f t="shared" si="25"/>
        <v>0.78539816339744828</v>
      </c>
      <c r="V126">
        <f t="shared" si="25"/>
        <v>0.78539816339744828</v>
      </c>
      <c r="W126">
        <f t="shared" si="25"/>
        <v>0.78539816339744828</v>
      </c>
      <c r="X126">
        <f t="shared" si="25"/>
        <v>0.78539816339744828</v>
      </c>
      <c r="Y126">
        <f t="shared" si="25"/>
        <v>0.78539816339744828</v>
      </c>
      <c r="Z126">
        <f t="shared" si="25"/>
        <v>0.78539816339744828</v>
      </c>
      <c r="AA126">
        <f t="shared" si="25"/>
        <v>0.78539816339744828</v>
      </c>
      <c r="AB126">
        <f t="shared" si="25"/>
        <v>0.78539816339744828</v>
      </c>
    </row>
    <row r="127" spans="14:28" x14ac:dyDescent="0.3">
      <c r="N127">
        <f t="shared" si="20"/>
        <v>50000</v>
      </c>
      <c r="O127">
        <f t="shared" si="25"/>
        <v>0.78539816339744828</v>
      </c>
      <c r="P127">
        <f t="shared" si="25"/>
        <v>0.78539816339744828</v>
      </c>
      <c r="Q127">
        <f t="shared" si="25"/>
        <v>0.78539816339744828</v>
      </c>
      <c r="R127">
        <f t="shared" si="25"/>
        <v>0.78539816339744828</v>
      </c>
      <c r="S127">
        <f t="shared" si="25"/>
        <v>0.78539816339744828</v>
      </c>
      <c r="T127">
        <f t="shared" si="25"/>
        <v>0.78539816339744828</v>
      </c>
      <c r="U127">
        <f t="shared" si="25"/>
        <v>0.78539816339744828</v>
      </c>
      <c r="V127">
        <f t="shared" si="25"/>
        <v>0.78539816339744828</v>
      </c>
      <c r="W127">
        <f t="shared" si="25"/>
        <v>0.78539816339744828</v>
      </c>
      <c r="X127">
        <f t="shared" si="25"/>
        <v>0.78539816339744828</v>
      </c>
      <c r="Y127">
        <f t="shared" si="25"/>
        <v>0.78539816339744828</v>
      </c>
      <c r="Z127">
        <f t="shared" si="25"/>
        <v>0.78539816339744828</v>
      </c>
      <c r="AA127">
        <f t="shared" si="25"/>
        <v>0.78539816339744828</v>
      </c>
      <c r="AB127">
        <f t="shared" si="25"/>
        <v>0.78539816339744828</v>
      </c>
    </row>
    <row r="128" spans="14:28" x14ac:dyDescent="0.3">
      <c r="N128">
        <f t="shared" si="20"/>
        <v>50000</v>
      </c>
      <c r="O128">
        <f t="shared" si="25"/>
        <v>0.78539816339744828</v>
      </c>
      <c r="P128">
        <f t="shared" si="25"/>
        <v>0.78539816339744828</v>
      </c>
      <c r="Q128">
        <f t="shared" si="25"/>
        <v>0.78539816339744828</v>
      </c>
      <c r="R128">
        <f t="shared" si="25"/>
        <v>0.78539816339744828</v>
      </c>
      <c r="S128">
        <f t="shared" si="25"/>
        <v>0.78539816339744828</v>
      </c>
      <c r="T128">
        <f t="shared" si="25"/>
        <v>0.78539816339744828</v>
      </c>
      <c r="U128">
        <f t="shared" si="25"/>
        <v>0.78539816339744828</v>
      </c>
      <c r="V128">
        <f t="shared" si="25"/>
        <v>0.78539816339744828</v>
      </c>
      <c r="W128">
        <f t="shared" si="25"/>
        <v>0.78539816339744828</v>
      </c>
      <c r="X128">
        <f t="shared" si="25"/>
        <v>0.78539816339744828</v>
      </c>
      <c r="Y128">
        <f t="shared" si="25"/>
        <v>0.78539816339744828</v>
      </c>
      <c r="Z128">
        <f t="shared" si="25"/>
        <v>0.78539816339744828</v>
      </c>
      <c r="AA128">
        <f t="shared" si="25"/>
        <v>0.78539816339744828</v>
      </c>
      <c r="AB128">
        <f t="shared" si="25"/>
        <v>0.78539816339744828</v>
      </c>
    </row>
    <row r="129" spans="14:28" x14ac:dyDescent="0.3">
      <c r="N129">
        <f t="shared" si="20"/>
        <v>50000</v>
      </c>
      <c r="O129">
        <f t="shared" si="25"/>
        <v>0.78539816339744828</v>
      </c>
      <c r="P129">
        <f t="shared" si="25"/>
        <v>0.78539816339744828</v>
      </c>
      <c r="Q129">
        <f t="shared" si="25"/>
        <v>0.78539816339744828</v>
      </c>
      <c r="R129">
        <f t="shared" si="25"/>
        <v>0.78539816339744828</v>
      </c>
      <c r="S129">
        <f t="shared" si="25"/>
        <v>0.78539816339744828</v>
      </c>
      <c r="T129">
        <f t="shared" si="25"/>
        <v>0.78539816339744828</v>
      </c>
      <c r="U129">
        <f t="shared" si="25"/>
        <v>0.78539816339744828</v>
      </c>
      <c r="V129">
        <f t="shared" si="25"/>
        <v>0.78539816339744828</v>
      </c>
      <c r="W129">
        <f t="shared" si="25"/>
        <v>0.78539816339744828</v>
      </c>
      <c r="X129">
        <f t="shared" si="25"/>
        <v>0.78539816339744828</v>
      </c>
      <c r="Y129">
        <f t="shared" si="25"/>
        <v>0.78539816339744828</v>
      </c>
      <c r="Z129">
        <f t="shared" si="25"/>
        <v>0.78539816339744828</v>
      </c>
      <c r="AA129">
        <f t="shared" si="25"/>
        <v>0.78539816339744828</v>
      </c>
      <c r="AB129">
        <f t="shared" si="25"/>
        <v>0.78539816339744828</v>
      </c>
    </row>
    <row r="130" spans="14:28" x14ac:dyDescent="0.3">
      <c r="N130">
        <f t="shared" si="20"/>
        <v>50000</v>
      </c>
      <c r="O130">
        <f t="shared" si="25"/>
        <v>0.78539816339744828</v>
      </c>
      <c r="P130">
        <f t="shared" si="25"/>
        <v>0.78539816339744828</v>
      </c>
      <c r="Q130">
        <f t="shared" si="25"/>
        <v>0.78539816339744828</v>
      </c>
      <c r="R130">
        <f t="shared" si="25"/>
        <v>0.78539816339744828</v>
      </c>
      <c r="S130">
        <f t="shared" si="25"/>
        <v>0.78539816339744828</v>
      </c>
      <c r="T130">
        <f t="shared" si="25"/>
        <v>0.78539816339744828</v>
      </c>
      <c r="U130">
        <f t="shared" si="25"/>
        <v>0.78539816339744828</v>
      </c>
      <c r="V130">
        <f t="shared" si="25"/>
        <v>0.78539816339744828</v>
      </c>
      <c r="W130">
        <f t="shared" si="25"/>
        <v>0.78539816339744828</v>
      </c>
      <c r="X130">
        <f t="shared" si="25"/>
        <v>0.78539816339744828</v>
      </c>
      <c r="Y130">
        <f t="shared" si="25"/>
        <v>0.78539816339744828</v>
      </c>
      <c r="Z130">
        <f t="shared" si="25"/>
        <v>0.78539816339744828</v>
      </c>
      <c r="AA130">
        <f t="shared" si="25"/>
        <v>0.78539816339744828</v>
      </c>
      <c r="AB130">
        <f t="shared" si="25"/>
        <v>0.78539816339744828</v>
      </c>
    </row>
    <row r="131" spans="14:28" x14ac:dyDescent="0.3">
      <c r="N131">
        <f t="shared" si="20"/>
        <v>50000</v>
      </c>
      <c r="O131">
        <f t="shared" si="25"/>
        <v>0.78539816339744828</v>
      </c>
      <c r="P131">
        <f t="shared" si="25"/>
        <v>0.78539816339744828</v>
      </c>
      <c r="Q131">
        <f t="shared" si="25"/>
        <v>0.78539816339744828</v>
      </c>
      <c r="R131">
        <f t="shared" si="25"/>
        <v>0.78539816339744828</v>
      </c>
      <c r="S131">
        <f t="shared" si="25"/>
        <v>0.78539816339744828</v>
      </c>
      <c r="T131">
        <f t="shared" si="25"/>
        <v>0.78539816339744828</v>
      </c>
      <c r="U131">
        <f t="shared" si="25"/>
        <v>0.78539816339744828</v>
      </c>
      <c r="V131">
        <f t="shared" si="25"/>
        <v>0.78539816339744828</v>
      </c>
      <c r="W131">
        <f t="shared" si="25"/>
        <v>0.78539816339744828</v>
      </c>
      <c r="X131">
        <f t="shared" si="25"/>
        <v>0.78539816339744828</v>
      </c>
      <c r="Y131">
        <f t="shared" si="25"/>
        <v>0.78539816339744828</v>
      </c>
      <c r="Z131">
        <f t="shared" si="25"/>
        <v>0.78539816339744828</v>
      </c>
      <c r="AA131">
        <f t="shared" si="25"/>
        <v>0.78539816339744828</v>
      </c>
      <c r="AB131">
        <f t="shared" si="25"/>
        <v>0.78539816339744828</v>
      </c>
    </row>
    <row r="132" spans="14:28" x14ac:dyDescent="0.3">
      <c r="N132">
        <f t="shared" si="20"/>
        <v>50000</v>
      </c>
      <c r="O132">
        <f t="shared" si="25"/>
        <v>0.78539816339744828</v>
      </c>
      <c r="P132">
        <f t="shared" si="25"/>
        <v>0.78539816339744828</v>
      </c>
      <c r="Q132">
        <f t="shared" si="25"/>
        <v>0.78539816339744828</v>
      </c>
      <c r="R132">
        <f t="shared" si="25"/>
        <v>0.78539816339744828</v>
      </c>
      <c r="S132">
        <f t="shared" si="25"/>
        <v>0.78539816339744828</v>
      </c>
      <c r="T132">
        <f t="shared" si="25"/>
        <v>0.78539816339744828</v>
      </c>
      <c r="U132">
        <f t="shared" si="25"/>
        <v>0.78539816339744828</v>
      </c>
      <c r="V132">
        <f t="shared" si="25"/>
        <v>0.78539816339744828</v>
      </c>
      <c r="W132">
        <f t="shared" si="25"/>
        <v>0.78539816339744828</v>
      </c>
      <c r="X132">
        <f t="shared" si="25"/>
        <v>0.78539816339744828</v>
      </c>
      <c r="Y132">
        <f t="shared" si="25"/>
        <v>0.78539816339744828</v>
      </c>
      <c r="Z132">
        <f t="shared" si="25"/>
        <v>0.78539816339744828</v>
      </c>
      <c r="AA132">
        <f t="shared" si="25"/>
        <v>0.78539816339744828</v>
      </c>
      <c r="AB132">
        <f t="shared" si="25"/>
        <v>0.78539816339744828</v>
      </c>
    </row>
    <row r="133" spans="14:28" x14ac:dyDescent="0.3">
      <c r="N133">
        <f t="shared" si="20"/>
        <v>50000</v>
      </c>
      <c r="O133">
        <f t="shared" si="25"/>
        <v>0.78539816339744828</v>
      </c>
      <c r="P133">
        <f t="shared" si="25"/>
        <v>0.78539816339744828</v>
      </c>
      <c r="Q133">
        <f t="shared" si="25"/>
        <v>0.78539816339744828</v>
      </c>
      <c r="R133">
        <f t="shared" si="25"/>
        <v>0.78539816339744828</v>
      </c>
      <c r="S133">
        <f t="shared" si="25"/>
        <v>0.78539816339744828</v>
      </c>
      <c r="T133">
        <f t="shared" si="25"/>
        <v>0.78539816339744828</v>
      </c>
      <c r="U133">
        <f t="shared" si="25"/>
        <v>0.78539816339744828</v>
      </c>
      <c r="V133">
        <f t="shared" si="25"/>
        <v>0.78539816339744828</v>
      </c>
      <c r="W133">
        <f t="shared" si="25"/>
        <v>0.78539816339744828</v>
      </c>
      <c r="X133">
        <f t="shared" si="25"/>
        <v>0.78539816339744828</v>
      </c>
      <c r="Y133">
        <f t="shared" si="25"/>
        <v>0.78539816339744828</v>
      </c>
      <c r="Z133">
        <f t="shared" si="25"/>
        <v>0.78539816339744828</v>
      </c>
      <c r="AA133">
        <f t="shared" si="25"/>
        <v>0.78539816339744828</v>
      </c>
      <c r="AB133">
        <f t="shared" si="25"/>
        <v>0.78539816339744828</v>
      </c>
    </row>
    <row r="134" spans="14:28" x14ac:dyDescent="0.3">
      <c r="N134">
        <f t="shared" si="20"/>
        <v>50000</v>
      </c>
      <c r="O134">
        <f t="shared" si="25"/>
        <v>0.78539816339744828</v>
      </c>
      <c r="P134">
        <f t="shared" si="25"/>
        <v>0.78539816339744828</v>
      </c>
      <c r="Q134">
        <f t="shared" si="25"/>
        <v>0.78539816339744828</v>
      </c>
      <c r="R134">
        <f t="shared" si="25"/>
        <v>0.78539816339744828</v>
      </c>
      <c r="S134">
        <f t="shared" si="25"/>
        <v>0.78539816339744828</v>
      </c>
      <c r="T134">
        <f t="shared" si="25"/>
        <v>0.78539816339744828</v>
      </c>
      <c r="U134">
        <f t="shared" si="25"/>
        <v>0.78539816339744828</v>
      </c>
      <c r="V134">
        <f t="shared" si="25"/>
        <v>0.78539816339744828</v>
      </c>
      <c r="W134">
        <f t="shared" si="25"/>
        <v>0.78539816339744828</v>
      </c>
      <c r="X134">
        <f t="shared" si="25"/>
        <v>0.78539816339744828</v>
      </c>
      <c r="Y134">
        <f t="shared" si="25"/>
        <v>0.78539816339744828</v>
      </c>
      <c r="Z134">
        <f t="shared" si="25"/>
        <v>0.78539816339744828</v>
      </c>
      <c r="AA134">
        <f t="shared" si="25"/>
        <v>0.78539816339744828</v>
      </c>
      <c r="AB134">
        <f t="shared" si="25"/>
        <v>0.78539816339744828</v>
      </c>
    </row>
    <row r="135" spans="14:28" x14ac:dyDescent="0.3">
      <c r="N135">
        <f t="shared" si="20"/>
        <v>50000</v>
      </c>
      <c r="O135">
        <f t="shared" si="25"/>
        <v>0.78539816339744828</v>
      </c>
      <c r="P135">
        <f t="shared" si="25"/>
        <v>0.78539816339744828</v>
      </c>
      <c r="Q135">
        <f t="shared" si="25"/>
        <v>0.78539816339744828</v>
      </c>
      <c r="R135">
        <f t="shared" si="25"/>
        <v>0.78539816339744828</v>
      </c>
      <c r="S135">
        <f t="shared" si="25"/>
        <v>0.78539816339744828</v>
      </c>
      <c r="T135">
        <f t="shared" si="25"/>
        <v>0.78539816339744828</v>
      </c>
      <c r="U135">
        <f t="shared" si="25"/>
        <v>0.78539816339744828</v>
      </c>
      <c r="V135">
        <f t="shared" si="25"/>
        <v>0.78539816339744828</v>
      </c>
      <c r="W135">
        <f t="shared" si="25"/>
        <v>0.78539816339744828</v>
      </c>
      <c r="X135">
        <f t="shared" si="25"/>
        <v>0.78539816339744828</v>
      </c>
      <c r="Y135">
        <f t="shared" si="25"/>
        <v>0.78539816339744828</v>
      </c>
      <c r="Z135">
        <f t="shared" si="25"/>
        <v>0.78539816339744828</v>
      </c>
      <c r="AA135">
        <f t="shared" si="25"/>
        <v>0.78539816339744828</v>
      </c>
      <c r="AB135">
        <f t="shared" si="25"/>
        <v>0.78539816339744828</v>
      </c>
    </row>
    <row r="136" spans="14:28" x14ac:dyDescent="0.3">
      <c r="N136">
        <f t="shared" si="20"/>
        <v>50000</v>
      </c>
      <c r="O136">
        <f t="shared" si="25"/>
        <v>0.78539816339744828</v>
      </c>
      <c r="P136">
        <f t="shared" si="25"/>
        <v>0.78539816339744828</v>
      </c>
      <c r="Q136">
        <f t="shared" si="25"/>
        <v>0.78539816339744828</v>
      </c>
      <c r="R136">
        <f t="shared" si="25"/>
        <v>0.78539816339744828</v>
      </c>
      <c r="S136">
        <f t="shared" si="25"/>
        <v>0.78539816339744828</v>
      </c>
      <c r="T136">
        <f t="shared" si="25"/>
        <v>0.78539816339744828</v>
      </c>
      <c r="U136">
        <f t="shared" si="25"/>
        <v>0.78539816339744828</v>
      </c>
      <c r="V136">
        <f t="shared" si="25"/>
        <v>0.78539816339744828</v>
      </c>
      <c r="W136">
        <f t="shared" si="25"/>
        <v>0.78539816339744828</v>
      </c>
      <c r="X136">
        <f t="shared" si="25"/>
        <v>0.78539816339744828</v>
      </c>
      <c r="Y136">
        <f t="shared" si="25"/>
        <v>0.78539816339744828</v>
      </c>
      <c r="Z136">
        <f t="shared" si="25"/>
        <v>0.78539816339744828</v>
      </c>
      <c r="AA136">
        <f t="shared" si="25"/>
        <v>0.78539816339744828</v>
      </c>
      <c r="AB136">
        <f t="shared" si="25"/>
        <v>0.78539816339744828</v>
      </c>
    </row>
    <row r="137" spans="14:28" x14ac:dyDescent="0.3">
      <c r="N137">
        <f t="shared" si="20"/>
        <v>50000</v>
      </c>
      <c r="O137">
        <f t="shared" si="25"/>
        <v>0.78539816339744828</v>
      </c>
      <c r="P137">
        <f t="shared" si="25"/>
        <v>0.78539816339744828</v>
      </c>
      <c r="Q137">
        <f t="shared" si="25"/>
        <v>0.78539816339744828</v>
      </c>
      <c r="R137">
        <f t="shared" si="25"/>
        <v>0.78539816339744828</v>
      </c>
      <c r="S137">
        <f t="shared" si="25"/>
        <v>0.78539816339744828</v>
      </c>
      <c r="T137">
        <f t="shared" si="25"/>
        <v>0.78539816339744828</v>
      </c>
      <c r="U137">
        <f t="shared" si="25"/>
        <v>0.78539816339744828</v>
      </c>
      <c r="V137">
        <f t="shared" si="25"/>
        <v>0.78539816339744828</v>
      </c>
      <c r="W137">
        <f t="shared" si="25"/>
        <v>0.78539816339744828</v>
      </c>
      <c r="X137">
        <f t="shared" si="25"/>
        <v>0.78539816339744828</v>
      </c>
      <c r="Y137">
        <f t="shared" si="25"/>
        <v>0.78539816339744828</v>
      </c>
      <c r="Z137">
        <f t="shared" si="25"/>
        <v>0.78539816339744828</v>
      </c>
      <c r="AA137">
        <f t="shared" si="25"/>
        <v>0.78539816339744828</v>
      </c>
      <c r="AB137">
        <f t="shared" si="25"/>
        <v>0.78539816339744828</v>
      </c>
    </row>
    <row r="138" spans="14:28" x14ac:dyDescent="0.3">
      <c r="N138">
        <f t="shared" si="20"/>
        <v>50000</v>
      </c>
      <c r="O138">
        <f t="shared" si="25"/>
        <v>0.78539816339744828</v>
      </c>
      <c r="P138">
        <f t="shared" si="25"/>
        <v>0.78539816339744828</v>
      </c>
      <c r="Q138">
        <f t="shared" si="25"/>
        <v>0.78539816339744828</v>
      </c>
      <c r="R138">
        <f t="shared" si="25"/>
        <v>0.78539816339744828</v>
      </c>
      <c r="S138">
        <f t="shared" si="25"/>
        <v>0.78539816339744828</v>
      </c>
      <c r="T138">
        <f t="shared" si="25"/>
        <v>0.78539816339744828</v>
      </c>
      <c r="U138">
        <f t="shared" si="25"/>
        <v>0.78539816339744828</v>
      </c>
      <c r="V138">
        <f t="shared" si="25"/>
        <v>0.78539816339744828</v>
      </c>
      <c r="W138">
        <f t="shared" si="25"/>
        <v>0.78539816339744828</v>
      </c>
      <c r="X138">
        <f t="shared" si="25"/>
        <v>0.78539816339744828</v>
      </c>
      <c r="Y138">
        <f t="shared" si="25"/>
        <v>0.78539816339744828</v>
      </c>
      <c r="Z138">
        <f t="shared" si="25"/>
        <v>0.78539816339744828</v>
      </c>
      <c r="AA138">
        <f t="shared" si="25"/>
        <v>0.78539816339744828</v>
      </c>
      <c r="AB138">
        <f t="shared" si="25"/>
        <v>0.78539816339744828</v>
      </c>
    </row>
    <row r="139" spans="14:28" x14ac:dyDescent="0.3">
      <c r="N139">
        <f t="shared" si="20"/>
        <v>50000</v>
      </c>
      <c r="O139">
        <f t="shared" si="25"/>
        <v>0.78539816339744828</v>
      </c>
      <c r="P139">
        <f t="shared" si="25"/>
        <v>0.78539816339744828</v>
      </c>
      <c r="Q139">
        <f t="shared" si="25"/>
        <v>0.78539816339744828</v>
      </c>
      <c r="R139">
        <f t="shared" si="25"/>
        <v>0.78539816339744828</v>
      </c>
      <c r="S139">
        <f t="shared" si="25"/>
        <v>0.78539816339744828</v>
      </c>
      <c r="T139">
        <f t="shared" si="25"/>
        <v>0.78539816339744828</v>
      </c>
      <c r="U139">
        <f t="shared" si="25"/>
        <v>0.78539816339744828</v>
      </c>
      <c r="V139">
        <f t="shared" si="25"/>
        <v>0.78539816339744828</v>
      </c>
      <c r="W139">
        <f t="shared" si="25"/>
        <v>0.78539816339744828</v>
      </c>
      <c r="X139">
        <f t="shared" si="25"/>
        <v>0.78539816339744828</v>
      </c>
      <c r="Y139">
        <f t="shared" si="25"/>
        <v>0.78539816339744828</v>
      </c>
      <c r="Z139">
        <f t="shared" si="25"/>
        <v>0.78539816339744828</v>
      </c>
      <c r="AA139">
        <f t="shared" si="25"/>
        <v>0.78539816339744828</v>
      </c>
      <c r="AB139">
        <f t="shared" si="25"/>
        <v>0.78539816339744828</v>
      </c>
    </row>
    <row r="140" spans="14:28" x14ac:dyDescent="0.3">
      <c r="N140">
        <f t="shared" si="20"/>
        <v>50000</v>
      </c>
      <c r="O140">
        <f t="shared" si="25"/>
        <v>0.78539816339744828</v>
      </c>
      <c r="P140">
        <f t="shared" si="25"/>
        <v>0.78539816339744828</v>
      </c>
      <c r="Q140">
        <f t="shared" si="25"/>
        <v>0.78539816339744828</v>
      </c>
      <c r="R140">
        <f t="shared" si="25"/>
        <v>0.78539816339744828</v>
      </c>
      <c r="S140">
        <f t="shared" si="25"/>
        <v>0.78539816339744828</v>
      </c>
      <c r="T140">
        <f t="shared" si="25"/>
        <v>0.78539816339744828</v>
      </c>
      <c r="U140">
        <f t="shared" si="25"/>
        <v>0.78539816339744828</v>
      </c>
      <c r="V140">
        <f t="shared" si="25"/>
        <v>0.78539816339744828</v>
      </c>
      <c r="W140">
        <f t="shared" si="25"/>
        <v>0.78539816339744828</v>
      </c>
      <c r="X140">
        <f t="shared" si="25"/>
        <v>0.78539816339744828</v>
      </c>
      <c r="Y140">
        <f t="shared" si="25"/>
        <v>0.78539816339744828</v>
      </c>
      <c r="Z140">
        <f t="shared" si="25"/>
        <v>0.78539816339744828</v>
      </c>
      <c r="AA140">
        <f t="shared" si="25"/>
        <v>0.78539816339744828</v>
      </c>
      <c r="AB140">
        <f t="shared" si="25"/>
        <v>0.78539816339744828</v>
      </c>
    </row>
    <row r="141" spans="14:28" x14ac:dyDescent="0.3">
      <c r="N141">
        <f t="shared" ref="N141:N176" si="26">100*500</f>
        <v>50000</v>
      </c>
      <c r="O141">
        <f t="shared" si="25"/>
        <v>0.78539816339744828</v>
      </c>
      <c r="P141">
        <f t="shared" si="25"/>
        <v>0.78539816339744828</v>
      </c>
      <c r="Q141">
        <f t="shared" si="25"/>
        <v>0.78539816339744828</v>
      </c>
      <c r="R141">
        <f t="shared" ref="P141:AB160" si="27">PI()/4</f>
        <v>0.78539816339744828</v>
      </c>
      <c r="S141">
        <f t="shared" si="27"/>
        <v>0.78539816339744828</v>
      </c>
      <c r="T141">
        <f t="shared" si="27"/>
        <v>0.78539816339744828</v>
      </c>
      <c r="U141">
        <f t="shared" si="27"/>
        <v>0.78539816339744828</v>
      </c>
      <c r="V141">
        <f t="shared" si="27"/>
        <v>0.78539816339744828</v>
      </c>
      <c r="W141">
        <f t="shared" si="27"/>
        <v>0.78539816339744828</v>
      </c>
      <c r="X141">
        <f t="shared" si="27"/>
        <v>0.78539816339744828</v>
      </c>
      <c r="Y141">
        <f t="shared" si="27"/>
        <v>0.78539816339744828</v>
      </c>
      <c r="Z141">
        <f t="shared" si="27"/>
        <v>0.78539816339744828</v>
      </c>
      <c r="AA141">
        <f t="shared" si="27"/>
        <v>0.78539816339744828</v>
      </c>
      <c r="AB141">
        <f t="shared" si="27"/>
        <v>0.78539816339744828</v>
      </c>
    </row>
    <row r="142" spans="14:28" x14ac:dyDescent="0.3">
      <c r="N142">
        <f t="shared" si="26"/>
        <v>50000</v>
      </c>
      <c r="O142">
        <f t="shared" ref="O142:O176" si="28">PI()/4</f>
        <v>0.78539816339744828</v>
      </c>
      <c r="P142">
        <f t="shared" si="27"/>
        <v>0.78539816339744828</v>
      </c>
      <c r="Q142">
        <f t="shared" si="27"/>
        <v>0.78539816339744828</v>
      </c>
      <c r="R142">
        <f t="shared" si="27"/>
        <v>0.78539816339744828</v>
      </c>
      <c r="S142">
        <f t="shared" si="27"/>
        <v>0.78539816339744828</v>
      </c>
      <c r="T142">
        <f t="shared" si="27"/>
        <v>0.78539816339744828</v>
      </c>
      <c r="U142">
        <f t="shared" si="27"/>
        <v>0.78539816339744828</v>
      </c>
      <c r="V142">
        <f t="shared" si="27"/>
        <v>0.78539816339744828</v>
      </c>
      <c r="W142">
        <f t="shared" si="27"/>
        <v>0.78539816339744828</v>
      </c>
      <c r="X142">
        <f t="shared" si="27"/>
        <v>0.78539816339744828</v>
      </c>
      <c r="Y142">
        <f t="shared" si="27"/>
        <v>0.78539816339744828</v>
      </c>
      <c r="Z142">
        <f t="shared" si="27"/>
        <v>0.78539816339744828</v>
      </c>
      <c r="AA142">
        <f t="shared" si="27"/>
        <v>0.78539816339744828</v>
      </c>
      <c r="AB142">
        <f t="shared" si="27"/>
        <v>0.78539816339744828</v>
      </c>
    </row>
    <row r="143" spans="14:28" x14ac:dyDescent="0.3">
      <c r="N143">
        <f t="shared" si="26"/>
        <v>50000</v>
      </c>
      <c r="O143">
        <f t="shared" si="28"/>
        <v>0.78539816339744828</v>
      </c>
      <c r="P143">
        <f t="shared" si="27"/>
        <v>0.78539816339744828</v>
      </c>
      <c r="Q143">
        <f t="shared" si="27"/>
        <v>0.78539816339744828</v>
      </c>
      <c r="R143">
        <f t="shared" si="27"/>
        <v>0.78539816339744828</v>
      </c>
      <c r="S143">
        <f t="shared" si="27"/>
        <v>0.78539816339744828</v>
      </c>
      <c r="T143">
        <f t="shared" si="27"/>
        <v>0.78539816339744828</v>
      </c>
      <c r="U143">
        <f t="shared" si="27"/>
        <v>0.78539816339744828</v>
      </c>
      <c r="V143">
        <f t="shared" si="27"/>
        <v>0.78539816339744828</v>
      </c>
      <c r="W143">
        <f t="shared" si="27"/>
        <v>0.78539816339744828</v>
      </c>
      <c r="X143">
        <f t="shared" si="27"/>
        <v>0.78539816339744828</v>
      </c>
      <c r="Y143">
        <f t="shared" si="27"/>
        <v>0.78539816339744828</v>
      </c>
      <c r="Z143">
        <f t="shared" si="27"/>
        <v>0.78539816339744828</v>
      </c>
      <c r="AA143">
        <f t="shared" si="27"/>
        <v>0.78539816339744828</v>
      </c>
      <c r="AB143">
        <f t="shared" si="27"/>
        <v>0.78539816339744828</v>
      </c>
    </row>
    <row r="144" spans="14:28" x14ac:dyDescent="0.3">
      <c r="N144">
        <f t="shared" si="26"/>
        <v>50000</v>
      </c>
      <c r="O144">
        <f t="shared" si="28"/>
        <v>0.78539816339744828</v>
      </c>
      <c r="P144">
        <f t="shared" si="27"/>
        <v>0.78539816339744828</v>
      </c>
      <c r="Q144">
        <f t="shared" si="27"/>
        <v>0.78539816339744828</v>
      </c>
      <c r="R144">
        <f t="shared" si="27"/>
        <v>0.78539816339744828</v>
      </c>
      <c r="S144">
        <f t="shared" si="27"/>
        <v>0.78539816339744828</v>
      </c>
      <c r="T144">
        <f t="shared" si="27"/>
        <v>0.78539816339744828</v>
      </c>
      <c r="U144">
        <f t="shared" si="27"/>
        <v>0.78539816339744828</v>
      </c>
      <c r="V144">
        <f t="shared" si="27"/>
        <v>0.78539816339744828</v>
      </c>
      <c r="W144">
        <f t="shared" si="27"/>
        <v>0.78539816339744828</v>
      </c>
      <c r="X144">
        <f t="shared" si="27"/>
        <v>0.78539816339744828</v>
      </c>
      <c r="Y144">
        <f t="shared" si="27"/>
        <v>0.78539816339744828</v>
      </c>
      <c r="Z144">
        <f t="shared" si="27"/>
        <v>0.78539816339744828</v>
      </c>
      <c r="AA144">
        <f t="shared" si="27"/>
        <v>0.78539816339744828</v>
      </c>
      <c r="AB144">
        <f t="shared" si="27"/>
        <v>0.78539816339744828</v>
      </c>
    </row>
    <row r="145" spans="14:28" x14ac:dyDescent="0.3">
      <c r="N145">
        <f t="shared" si="26"/>
        <v>50000</v>
      </c>
      <c r="O145">
        <f t="shared" si="28"/>
        <v>0.78539816339744828</v>
      </c>
      <c r="P145">
        <f t="shared" si="27"/>
        <v>0.78539816339744828</v>
      </c>
      <c r="Q145">
        <f t="shared" si="27"/>
        <v>0.78539816339744828</v>
      </c>
      <c r="R145">
        <f t="shared" si="27"/>
        <v>0.78539816339744828</v>
      </c>
      <c r="S145">
        <f t="shared" si="27"/>
        <v>0.78539816339744828</v>
      </c>
      <c r="T145">
        <f t="shared" si="27"/>
        <v>0.78539816339744828</v>
      </c>
      <c r="U145">
        <f t="shared" si="27"/>
        <v>0.78539816339744828</v>
      </c>
      <c r="V145">
        <f t="shared" si="27"/>
        <v>0.78539816339744828</v>
      </c>
      <c r="W145">
        <f t="shared" si="27"/>
        <v>0.78539816339744828</v>
      </c>
      <c r="X145">
        <f t="shared" si="27"/>
        <v>0.78539816339744828</v>
      </c>
      <c r="Y145">
        <f t="shared" si="27"/>
        <v>0.78539816339744828</v>
      </c>
      <c r="Z145">
        <f t="shared" si="27"/>
        <v>0.78539816339744828</v>
      </c>
      <c r="AA145">
        <f t="shared" si="27"/>
        <v>0.78539816339744828</v>
      </c>
      <c r="AB145">
        <f t="shared" si="27"/>
        <v>0.78539816339744828</v>
      </c>
    </row>
    <row r="146" spans="14:28" x14ac:dyDescent="0.3">
      <c r="N146">
        <f t="shared" si="26"/>
        <v>50000</v>
      </c>
      <c r="O146">
        <f t="shared" si="28"/>
        <v>0.78539816339744828</v>
      </c>
      <c r="P146">
        <f t="shared" si="27"/>
        <v>0.78539816339744828</v>
      </c>
      <c r="Q146">
        <f t="shared" si="27"/>
        <v>0.78539816339744828</v>
      </c>
      <c r="R146">
        <f t="shared" si="27"/>
        <v>0.78539816339744828</v>
      </c>
      <c r="S146">
        <f t="shared" si="27"/>
        <v>0.78539816339744828</v>
      </c>
      <c r="T146">
        <f t="shared" si="27"/>
        <v>0.78539816339744828</v>
      </c>
      <c r="U146">
        <f t="shared" si="27"/>
        <v>0.78539816339744828</v>
      </c>
      <c r="V146">
        <f t="shared" si="27"/>
        <v>0.78539816339744828</v>
      </c>
      <c r="W146">
        <f t="shared" si="27"/>
        <v>0.78539816339744828</v>
      </c>
      <c r="X146">
        <f t="shared" si="27"/>
        <v>0.78539816339744828</v>
      </c>
      <c r="Y146">
        <f t="shared" si="27"/>
        <v>0.78539816339744828</v>
      </c>
      <c r="Z146">
        <f t="shared" si="27"/>
        <v>0.78539816339744828</v>
      </c>
      <c r="AA146">
        <f t="shared" si="27"/>
        <v>0.78539816339744828</v>
      </c>
      <c r="AB146">
        <f t="shared" si="27"/>
        <v>0.78539816339744828</v>
      </c>
    </row>
    <row r="147" spans="14:28" x14ac:dyDescent="0.3">
      <c r="N147">
        <f t="shared" si="26"/>
        <v>50000</v>
      </c>
      <c r="O147">
        <f t="shared" si="28"/>
        <v>0.78539816339744828</v>
      </c>
      <c r="P147">
        <f t="shared" si="27"/>
        <v>0.78539816339744828</v>
      </c>
      <c r="Q147">
        <f t="shared" si="27"/>
        <v>0.78539816339744828</v>
      </c>
      <c r="R147">
        <f t="shared" si="27"/>
        <v>0.78539816339744828</v>
      </c>
      <c r="S147">
        <f t="shared" si="27"/>
        <v>0.78539816339744828</v>
      </c>
      <c r="T147">
        <f t="shared" si="27"/>
        <v>0.78539816339744828</v>
      </c>
      <c r="U147">
        <f t="shared" si="27"/>
        <v>0.78539816339744828</v>
      </c>
      <c r="V147">
        <f t="shared" si="27"/>
        <v>0.78539816339744828</v>
      </c>
      <c r="W147">
        <f t="shared" si="27"/>
        <v>0.78539816339744828</v>
      </c>
      <c r="X147">
        <f t="shared" si="27"/>
        <v>0.78539816339744828</v>
      </c>
      <c r="Y147">
        <f t="shared" si="27"/>
        <v>0.78539816339744828</v>
      </c>
      <c r="Z147">
        <f t="shared" si="27"/>
        <v>0.78539816339744828</v>
      </c>
      <c r="AA147">
        <f t="shared" si="27"/>
        <v>0.78539816339744828</v>
      </c>
      <c r="AB147">
        <f t="shared" si="27"/>
        <v>0.78539816339744828</v>
      </c>
    </row>
    <row r="148" spans="14:28" x14ac:dyDescent="0.3">
      <c r="N148">
        <f t="shared" si="26"/>
        <v>50000</v>
      </c>
      <c r="O148">
        <f t="shared" si="28"/>
        <v>0.78539816339744828</v>
      </c>
      <c r="P148">
        <f t="shared" si="27"/>
        <v>0.78539816339744828</v>
      </c>
      <c r="Q148">
        <f t="shared" si="27"/>
        <v>0.78539816339744828</v>
      </c>
      <c r="R148">
        <f t="shared" si="27"/>
        <v>0.78539816339744828</v>
      </c>
      <c r="S148">
        <f t="shared" si="27"/>
        <v>0.78539816339744828</v>
      </c>
      <c r="T148">
        <f t="shared" si="27"/>
        <v>0.78539816339744828</v>
      </c>
      <c r="U148">
        <f t="shared" si="27"/>
        <v>0.78539816339744828</v>
      </c>
      <c r="V148">
        <f t="shared" si="27"/>
        <v>0.78539816339744828</v>
      </c>
      <c r="W148">
        <f t="shared" si="27"/>
        <v>0.78539816339744828</v>
      </c>
      <c r="X148">
        <f t="shared" si="27"/>
        <v>0.78539816339744828</v>
      </c>
      <c r="Y148">
        <f t="shared" si="27"/>
        <v>0.78539816339744828</v>
      </c>
      <c r="Z148">
        <f t="shared" si="27"/>
        <v>0.78539816339744828</v>
      </c>
      <c r="AA148">
        <f t="shared" si="27"/>
        <v>0.78539816339744828</v>
      </c>
      <c r="AB148">
        <f t="shared" si="27"/>
        <v>0.78539816339744828</v>
      </c>
    </row>
    <row r="149" spans="14:28" x14ac:dyDescent="0.3">
      <c r="N149">
        <f t="shared" si="26"/>
        <v>50000</v>
      </c>
      <c r="O149">
        <f t="shared" si="28"/>
        <v>0.78539816339744828</v>
      </c>
      <c r="P149">
        <f t="shared" si="27"/>
        <v>0.78539816339744828</v>
      </c>
      <c r="Q149">
        <f t="shared" si="27"/>
        <v>0.78539816339744828</v>
      </c>
      <c r="R149">
        <f t="shared" si="27"/>
        <v>0.78539816339744828</v>
      </c>
      <c r="S149">
        <f t="shared" si="27"/>
        <v>0.78539816339744828</v>
      </c>
      <c r="T149">
        <f t="shared" si="27"/>
        <v>0.78539816339744828</v>
      </c>
      <c r="U149">
        <f t="shared" si="27"/>
        <v>0.78539816339744828</v>
      </c>
      <c r="V149">
        <f t="shared" si="27"/>
        <v>0.78539816339744828</v>
      </c>
      <c r="W149">
        <f t="shared" si="27"/>
        <v>0.78539816339744828</v>
      </c>
      <c r="X149">
        <f t="shared" si="27"/>
        <v>0.78539816339744828</v>
      </c>
      <c r="Y149">
        <f t="shared" si="27"/>
        <v>0.78539816339744828</v>
      </c>
      <c r="Z149">
        <f t="shared" si="27"/>
        <v>0.78539816339744828</v>
      </c>
      <c r="AA149">
        <f t="shared" si="27"/>
        <v>0.78539816339744828</v>
      </c>
      <c r="AB149">
        <f t="shared" si="27"/>
        <v>0.78539816339744828</v>
      </c>
    </row>
    <row r="150" spans="14:28" x14ac:dyDescent="0.3">
      <c r="N150">
        <f t="shared" si="26"/>
        <v>50000</v>
      </c>
      <c r="O150">
        <f t="shared" si="28"/>
        <v>0.78539816339744828</v>
      </c>
      <c r="P150">
        <f t="shared" si="27"/>
        <v>0.78539816339744828</v>
      </c>
      <c r="Q150">
        <f t="shared" si="27"/>
        <v>0.78539816339744828</v>
      </c>
      <c r="R150">
        <f t="shared" si="27"/>
        <v>0.78539816339744828</v>
      </c>
      <c r="S150">
        <f t="shared" si="27"/>
        <v>0.78539816339744828</v>
      </c>
      <c r="T150">
        <f t="shared" si="27"/>
        <v>0.78539816339744828</v>
      </c>
      <c r="U150">
        <f t="shared" si="27"/>
        <v>0.78539816339744828</v>
      </c>
      <c r="V150">
        <f t="shared" si="27"/>
        <v>0.78539816339744828</v>
      </c>
      <c r="W150">
        <f t="shared" si="27"/>
        <v>0.78539816339744828</v>
      </c>
      <c r="X150">
        <f t="shared" si="27"/>
        <v>0.78539816339744828</v>
      </c>
      <c r="Y150">
        <f t="shared" si="27"/>
        <v>0.78539816339744828</v>
      </c>
      <c r="Z150">
        <f t="shared" si="27"/>
        <v>0.78539816339744828</v>
      </c>
      <c r="AA150">
        <f t="shared" si="27"/>
        <v>0.78539816339744828</v>
      </c>
      <c r="AB150">
        <f t="shared" si="27"/>
        <v>0.78539816339744828</v>
      </c>
    </row>
    <row r="151" spans="14:28" x14ac:dyDescent="0.3">
      <c r="N151">
        <f t="shared" si="26"/>
        <v>50000</v>
      </c>
      <c r="O151">
        <f t="shared" si="28"/>
        <v>0.78539816339744828</v>
      </c>
      <c r="P151">
        <f t="shared" si="27"/>
        <v>0.78539816339744828</v>
      </c>
      <c r="Q151">
        <f t="shared" si="27"/>
        <v>0.78539816339744828</v>
      </c>
      <c r="R151">
        <f t="shared" si="27"/>
        <v>0.78539816339744828</v>
      </c>
      <c r="S151">
        <f t="shared" si="27"/>
        <v>0.78539816339744828</v>
      </c>
      <c r="T151">
        <f t="shared" si="27"/>
        <v>0.78539816339744828</v>
      </c>
      <c r="U151">
        <f t="shared" si="27"/>
        <v>0.78539816339744828</v>
      </c>
      <c r="V151">
        <f t="shared" si="27"/>
        <v>0.78539816339744828</v>
      </c>
      <c r="W151">
        <f t="shared" si="27"/>
        <v>0.78539816339744828</v>
      </c>
      <c r="X151">
        <f t="shared" si="27"/>
        <v>0.78539816339744828</v>
      </c>
      <c r="Y151">
        <f t="shared" si="27"/>
        <v>0.78539816339744828</v>
      </c>
      <c r="Z151">
        <f t="shared" si="27"/>
        <v>0.78539816339744828</v>
      </c>
      <c r="AA151">
        <f t="shared" si="27"/>
        <v>0.78539816339744828</v>
      </c>
      <c r="AB151">
        <f t="shared" si="27"/>
        <v>0.78539816339744828</v>
      </c>
    </row>
    <row r="152" spans="14:28" x14ac:dyDescent="0.3">
      <c r="N152">
        <f t="shared" si="26"/>
        <v>50000</v>
      </c>
      <c r="O152">
        <f t="shared" si="28"/>
        <v>0.78539816339744828</v>
      </c>
      <c r="P152">
        <f t="shared" si="27"/>
        <v>0.78539816339744828</v>
      </c>
      <c r="Q152">
        <f t="shared" si="27"/>
        <v>0.78539816339744828</v>
      </c>
      <c r="R152">
        <f t="shared" si="27"/>
        <v>0.78539816339744828</v>
      </c>
      <c r="S152">
        <f t="shared" si="27"/>
        <v>0.78539816339744828</v>
      </c>
      <c r="T152">
        <f t="shared" si="27"/>
        <v>0.78539816339744828</v>
      </c>
      <c r="U152">
        <f t="shared" si="27"/>
        <v>0.78539816339744828</v>
      </c>
      <c r="V152">
        <f t="shared" si="27"/>
        <v>0.78539816339744828</v>
      </c>
      <c r="W152">
        <f t="shared" si="27"/>
        <v>0.78539816339744828</v>
      </c>
      <c r="X152">
        <f t="shared" si="27"/>
        <v>0.78539816339744828</v>
      </c>
      <c r="Y152">
        <f t="shared" si="27"/>
        <v>0.78539816339744828</v>
      </c>
      <c r="Z152">
        <f t="shared" si="27"/>
        <v>0.78539816339744828</v>
      </c>
      <c r="AA152">
        <f t="shared" si="27"/>
        <v>0.78539816339744828</v>
      </c>
      <c r="AB152">
        <f t="shared" si="27"/>
        <v>0.78539816339744828</v>
      </c>
    </row>
    <row r="153" spans="14:28" x14ac:dyDescent="0.3">
      <c r="N153">
        <f t="shared" si="26"/>
        <v>50000</v>
      </c>
      <c r="O153">
        <f t="shared" si="28"/>
        <v>0.78539816339744828</v>
      </c>
      <c r="P153">
        <f t="shared" si="27"/>
        <v>0.78539816339744828</v>
      </c>
      <c r="Q153">
        <f t="shared" si="27"/>
        <v>0.78539816339744828</v>
      </c>
      <c r="R153">
        <f t="shared" si="27"/>
        <v>0.78539816339744828</v>
      </c>
      <c r="S153">
        <f t="shared" si="27"/>
        <v>0.78539816339744828</v>
      </c>
      <c r="T153">
        <f t="shared" si="27"/>
        <v>0.78539816339744828</v>
      </c>
      <c r="U153">
        <f t="shared" si="27"/>
        <v>0.78539816339744828</v>
      </c>
      <c r="V153">
        <f t="shared" si="27"/>
        <v>0.78539816339744828</v>
      </c>
      <c r="W153">
        <f t="shared" si="27"/>
        <v>0.78539816339744828</v>
      </c>
      <c r="X153">
        <f t="shared" si="27"/>
        <v>0.78539816339744828</v>
      </c>
      <c r="Y153">
        <f t="shared" si="27"/>
        <v>0.78539816339744828</v>
      </c>
      <c r="Z153">
        <f t="shared" si="27"/>
        <v>0.78539816339744828</v>
      </c>
      <c r="AA153">
        <f t="shared" si="27"/>
        <v>0.78539816339744828</v>
      </c>
      <c r="AB153">
        <f t="shared" si="27"/>
        <v>0.78539816339744828</v>
      </c>
    </row>
    <row r="154" spans="14:28" x14ac:dyDescent="0.3">
      <c r="N154">
        <f t="shared" si="26"/>
        <v>50000</v>
      </c>
      <c r="O154">
        <f t="shared" si="28"/>
        <v>0.78539816339744828</v>
      </c>
      <c r="P154">
        <f t="shared" si="27"/>
        <v>0.78539816339744828</v>
      </c>
      <c r="Q154">
        <f t="shared" si="27"/>
        <v>0.78539816339744828</v>
      </c>
      <c r="R154">
        <f t="shared" si="27"/>
        <v>0.78539816339744828</v>
      </c>
      <c r="S154">
        <f t="shared" si="27"/>
        <v>0.78539816339744828</v>
      </c>
      <c r="T154">
        <f t="shared" si="27"/>
        <v>0.78539816339744828</v>
      </c>
      <c r="U154">
        <f t="shared" si="27"/>
        <v>0.78539816339744828</v>
      </c>
      <c r="V154">
        <f t="shared" si="27"/>
        <v>0.78539816339744828</v>
      </c>
      <c r="W154">
        <f t="shared" si="27"/>
        <v>0.78539816339744828</v>
      </c>
      <c r="X154">
        <f t="shared" si="27"/>
        <v>0.78539816339744828</v>
      </c>
      <c r="Y154">
        <f t="shared" si="27"/>
        <v>0.78539816339744828</v>
      </c>
      <c r="Z154">
        <f t="shared" si="27"/>
        <v>0.78539816339744828</v>
      </c>
      <c r="AA154">
        <f t="shared" si="27"/>
        <v>0.78539816339744828</v>
      </c>
      <c r="AB154">
        <f t="shared" si="27"/>
        <v>0.78539816339744828</v>
      </c>
    </row>
    <row r="155" spans="14:28" x14ac:dyDescent="0.3">
      <c r="N155">
        <f t="shared" si="26"/>
        <v>50000</v>
      </c>
      <c r="O155">
        <f t="shared" si="28"/>
        <v>0.78539816339744828</v>
      </c>
      <c r="P155">
        <f t="shared" si="27"/>
        <v>0.78539816339744828</v>
      </c>
      <c r="Q155">
        <f t="shared" si="27"/>
        <v>0.78539816339744828</v>
      </c>
      <c r="R155">
        <f t="shared" si="27"/>
        <v>0.78539816339744828</v>
      </c>
      <c r="S155">
        <f t="shared" si="27"/>
        <v>0.78539816339744828</v>
      </c>
      <c r="T155">
        <f t="shared" si="27"/>
        <v>0.78539816339744828</v>
      </c>
      <c r="U155">
        <f t="shared" si="27"/>
        <v>0.78539816339744828</v>
      </c>
      <c r="V155">
        <f t="shared" si="27"/>
        <v>0.78539816339744828</v>
      </c>
      <c r="W155">
        <f t="shared" si="27"/>
        <v>0.78539816339744828</v>
      </c>
      <c r="X155">
        <f t="shared" si="27"/>
        <v>0.78539816339744828</v>
      </c>
      <c r="Y155">
        <f t="shared" si="27"/>
        <v>0.78539816339744828</v>
      </c>
      <c r="Z155">
        <f t="shared" si="27"/>
        <v>0.78539816339744828</v>
      </c>
      <c r="AA155">
        <f t="shared" si="27"/>
        <v>0.78539816339744828</v>
      </c>
      <c r="AB155">
        <f t="shared" si="27"/>
        <v>0.78539816339744828</v>
      </c>
    </row>
    <row r="156" spans="14:28" x14ac:dyDescent="0.3">
      <c r="N156">
        <f t="shared" si="26"/>
        <v>50000</v>
      </c>
      <c r="O156">
        <f t="shared" si="28"/>
        <v>0.78539816339744828</v>
      </c>
      <c r="P156">
        <f t="shared" si="27"/>
        <v>0.78539816339744828</v>
      </c>
      <c r="Q156">
        <f t="shared" si="27"/>
        <v>0.78539816339744828</v>
      </c>
      <c r="R156">
        <f t="shared" si="27"/>
        <v>0.78539816339744828</v>
      </c>
      <c r="S156">
        <f t="shared" si="27"/>
        <v>0.78539816339744828</v>
      </c>
      <c r="T156">
        <f t="shared" si="27"/>
        <v>0.78539816339744828</v>
      </c>
      <c r="U156">
        <f t="shared" si="27"/>
        <v>0.78539816339744828</v>
      </c>
      <c r="V156">
        <f t="shared" si="27"/>
        <v>0.78539816339744828</v>
      </c>
      <c r="W156">
        <f t="shared" si="27"/>
        <v>0.78539816339744828</v>
      </c>
      <c r="X156">
        <f t="shared" si="27"/>
        <v>0.78539816339744828</v>
      </c>
      <c r="Y156">
        <f t="shared" si="27"/>
        <v>0.78539816339744828</v>
      </c>
      <c r="Z156">
        <f t="shared" si="27"/>
        <v>0.78539816339744828</v>
      </c>
      <c r="AA156">
        <f t="shared" si="27"/>
        <v>0.78539816339744828</v>
      </c>
      <c r="AB156">
        <f t="shared" si="27"/>
        <v>0.78539816339744828</v>
      </c>
    </row>
    <row r="157" spans="14:28" x14ac:dyDescent="0.3">
      <c r="N157">
        <f t="shared" si="26"/>
        <v>50000</v>
      </c>
      <c r="O157">
        <f t="shared" si="28"/>
        <v>0.78539816339744828</v>
      </c>
      <c r="P157">
        <f t="shared" si="27"/>
        <v>0.78539816339744828</v>
      </c>
      <c r="Q157">
        <f t="shared" si="27"/>
        <v>0.78539816339744828</v>
      </c>
      <c r="R157">
        <f t="shared" si="27"/>
        <v>0.78539816339744828</v>
      </c>
      <c r="S157">
        <f t="shared" si="27"/>
        <v>0.78539816339744828</v>
      </c>
      <c r="T157">
        <f t="shared" si="27"/>
        <v>0.78539816339744828</v>
      </c>
      <c r="U157">
        <f t="shared" si="27"/>
        <v>0.78539816339744828</v>
      </c>
      <c r="V157">
        <f t="shared" si="27"/>
        <v>0.78539816339744828</v>
      </c>
      <c r="W157">
        <f t="shared" si="27"/>
        <v>0.78539816339744828</v>
      </c>
      <c r="X157">
        <f t="shared" si="27"/>
        <v>0.78539816339744828</v>
      </c>
      <c r="Y157">
        <f t="shared" si="27"/>
        <v>0.78539816339744828</v>
      </c>
      <c r="Z157">
        <f t="shared" si="27"/>
        <v>0.78539816339744828</v>
      </c>
      <c r="AA157">
        <f t="shared" si="27"/>
        <v>0.78539816339744828</v>
      </c>
      <c r="AB157">
        <f t="shared" si="27"/>
        <v>0.78539816339744828</v>
      </c>
    </row>
    <row r="158" spans="14:28" x14ac:dyDescent="0.3">
      <c r="N158">
        <f t="shared" si="26"/>
        <v>50000</v>
      </c>
      <c r="O158">
        <f t="shared" si="28"/>
        <v>0.78539816339744828</v>
      </c>
      <c r="P158">
        <f t="shared" si="27"/>
        <v>0.78539816339744828</v>
      </c>
      <c r="Q158">
        <f t="shared" si="27"/>
        <v>0.78539816339744828</v>
      </c>
      <c r="R158">
        <f t="shared" si="27"/>
        <v>0.78539816339744828</v>
      </c>
      <c r="S158">
        <f t="shared" si="27"/>
        <v>0.78539816339744828</v>
      </c>
      <c r="T158">
        <f t="shared" si="27"/>
        <v>0.78539816339744828</v>
      </c>
      <c r="U158">
        <f t="shared" si="27"/>
        <v>0.78539816339744828</v>
      </c>
      <c r="V158">
        <f t="shared" si="27"/>
        <v>0.78539816339744828</v>
      </c>
      <c r="W158">
        <f t="shared" si="27"/>
        <v>0.78539816339744828</v>
      </c>
      <c r="X158">
        <f t="shared" si="27"/>
        <v>0.78539816339744828</v>
      </c>
      <c r="Y158">
        <f t="shared" si="27"/>
        <v>0.78539816339744828</v>
      </c>
      <c r="Z158">
        <f t="shared" si="27"/>
        <v>0.78539816339744828</v>
      </c>
      <c r="AA158">
        <f t="shared" si="27"/>
        <v>0.78539816339744828</v>
      </c>
      <c r="AB158">
        <f t="shared" si="27"/>
        <v>0.78539816339744828</v>
      </c>
    </row>
    <row r="159" spans="14:28" x14ac:dyDescent="0.3">
      <c r="N159">
        <f t="shared" si="26"/>
        <v>50000</v>
      </c>
      <c r="O159">
        <f t="shared" si="28"/>
        <v>0.78539816339744828</v>
      </c>
      <c r="P159">
        <f t="shared" si="27"/>
        <v>0.78539816339744828</v>
      </c>
      <c r="Q159">
        <f t="shared" si="27"/>
        <v>0.78539816339744828</v>
      </c>
      <c r="R159">
        <f t="shared" si="27"/>
        <v>0.78539816339744828</v>
      </c>
      <c r="S159">
        <f t="shared" si="27"/>
        <v>0.78539816339744828</v>
      </c>
      <c r="T159">
        <f t="shared" si="27"/>
        <v>0.78539816339744828</v>
      </c>
      <c r="U159">
        <f t="shared" si="27"/>
        <v>0.78539816339744828</v>
      </c>
      <c r="V159">
        <f t="shared" si="27"/>
        <v>0.78539816339744828</v>
      </c>
      <c r="W159">
        <f t="shared" si="27"/>
        <v>0.78539816339744828</v>
      </c>
      <c r="X159">
        <f t="shared" si="27"/>
        <v>0.78539816339744828</v>
      </c>
      <c r="Y159">
        <f t="shared" si="27"/>
        <v>0.78539816339744828</v>
      </c>
      <c r="Z159">
        <f t="shared" si="27"/>
        <v>0.78539816339744828</v>
      </c>
      <c r="AA159">
        <f t="shared" si="27"/>
        <v>0.78539816339744828</v>
      </c>
      <c r="AB159">
        <f t="shared" si="27"/>
        <v>0.78539816339744828</v>
      </c>
    </row>
    <row r="160" spans="14:28" x14ac:dyDescent="0.3">
      <c r="N160">
        <f t="shared" si="26"/>
        <v>50000</v>
      </c>
      <c r="O160">
        <f t="shared" si="28"/>
        <v>0.78539816339744828</v>
      </c>
      <c r="P160">
        <f t="shared" si="27"/>
        <v>0.78539816339744828</v>
      </c>
      <c r="Q160">
        <f t="shared" si="27"/>
        <v>0.78539816339744828</v>
      </c>
      <c r="R160">
        <f t="shared" si="27"/>
        <v>0.78539816339744828</v>
      </c>
      <c r="S160">
        <f t="shared" si="27"/>
        <v>0.78539816339744828</v>
      </c>
      <c r="T160">
        <f t="shared" si="27"/>
        <v>0.78539816339744828</v>
      </c>
      <c r="U160">
        <f t="shared" si="27"/>
        <v>0.78539816339744828</v>
      </c>
      <c r="V160">
        <f t="shared" si="27"/>
        <v>0.78539816339744828</v>
      </c>
      <c r="W160">
        <f t="shared" si="27"/>
        <v>0.78539816339744828</v>
      </c>
      <c r="X160">
        <f t="shared" si="27"/>
        <v>0.78539816339744828</v>
      </c>
      <c r="Y160">
        <f t="shared" si="27"/>
        <v>0.78539816339744828</v>
      </c>
      <c r="Z160">
        <f t="shared" ref="P160:AB176" si="29">PI()/4</f>
        <v>0.78539816339744828</v>
      </c>
      <c r="AA160">
        <f t="shared" si="29"/>
        <v>0.78539816339744828</v>
      </c>
      <c r="AB160">
        <f t="shared" si="29"/>
        <v>0.78539816339744828</v>
      </c>
    </row>
    <row r="161" spans="14:28" x14ac:dyDescent="0.3">
      <c r="N161">
        <f t="shared" si="26"/>
        <v>50000</v>
      </c>
      <c r="O161">
        <f t="shared" si="28"/>
        <v>0.78539816339744828</v>
      </c>
      <c r="P161">
        <f t="shared" si="29"/>
        <v>0.78539816339744828</v>
      </c>
      <c r="Q161">
        <f t="shared" si="29"/>
        <v>0.78539816339744828</v>
      </c>
      <c r="R161">
        <f t="shared" si="29"/>
        <v>0.78539816339744828</v>
      </c>
      <c r="S161">
        <f t="shared" si="29"/>
        <v>0.78539816339744828</v>
      </c>
      <c r="T161">
        <f t="shared" si="29"/>
        <v>0.78539816339744828</v>
      </c>
      <c r="U161">
        <f t="shared" si="29"/>
        <v>0.78539816339744828</v>
      </c>
      <c r="V161">
        <f t="shared" si="29"/>
        <v>0.78539816339744828</v>
      </c>
      <c r="W161">
        <f t="shared" si="29"/>
        <v>0.78539816339744828</v>
      </c>
      <c r="X161">
        <f t="shared" si="29"/>
        <v>0.78539816339744828</v>
      </c>
      <c r="Y161">
        <f t="shared" si="29"/>
        <v>0.78539816339744828</v>
      </c>
      <c r="Z161">
        <f t="shared" si="29"/>
        <v>0.78539816339744828</v>
      </c>
      <c r="AA161">
        <f t="shared" si="29"/>
        <v>0.78539816339744828</v>
      </c>
      <c r="AB161">
        <f t="shared" si="29"/>
        <v>0.78539816339744828</v>
      </c>
    </row>
    <row r="162" spans="14:28" x14ac:dyDescent="0.3">
      <c r="N162">
        <f t="shared" si="26"/>
        <v>50000</v>
      </c>
      <c r="O162">
        <f t="shared" si="28"/>
        <v>0.78539816339744828</v>
      </c>
      <c r="P162">
        <f t="shared" si="29"/>
        <v>0.78539816339744828</v>
      </c>
      <c r="Q162">
        <f t="shared" si="29"/>
        <v>0.78539816339744828</v>
      </c>
      <c r="R162">
        <f t="shared" si="29"/>
        <v>0.78539816339744828</v>
      </c>
      <c r="S162">
        <f t="shared" si="29"/>
        <v>0.78539816339744828</v>
      </c>
      <c r="T162">
        <f t="shared" si="29"/>
        <v>0.78539816339744828</v>
      </c>
      <c r="U162">
        <f t="shared" si="29"/>
        <v>0.78539816339744828</v>
      </c>
      <c r="V162">
        <f t="shared" si="29"/>
        <v>0.78539816339744828</v>
      </c>
      <c r="W162">
        <f t="shared" si="29"/>
        <v>0.78539816339744828</v>
      </c>
      <c r="X162">
        <f t="shared" si="29"/>
        <v>0.78539816339744828</v>
      </c>
      <c r="Y162">
        <f t="shared" si="29"/>
        <v>0.78539816339744828</v>
      </c>
      <c r="Z162">
        <f t="shared" si="29"/>
        <v>0.78539816339744828</v>
      </c>
      <c r="AA162">
        <f t="shared" si="29"/>
        <v>0.78539816339744828</v>
      </c>
      <c r="AB162">
        <f t="shared" si="29"/>
        <v>0.78539816339744828</v>
      </c>
    </row>
    <row r="163" spans="14:28" x14ac:dyDescent="0.3">
      <c r="N163">
        <f t="shared" si="26"/>
        <v>50000</v>
      </c>
      <c r="O163">
        <f t="shared" si="28"/>
        <v>0.78539816339744828</v>
      </c>
      <c r="P163">
        <f t="shared" si="29"/>
        <v>0.78539816339744828</v>
      </c>
      <c r="Q163">
        <f t="shared" si="29"/>
        <v>0.78539816339744828</v>
      </c>
      <c r="R163">
        <f t="shared" si="29"/>
        <v>0.78539816339744828</v>
      </c>
      <c r="S163">
        <f t="shared" si="29"/>
        <v>0.78539816339744828</v>
      </c>
      <c r="T163">
        <f t="shared" si="29"/>
        <v>0.78539816339744828</v>
      </c>
      <c r="U163">
        <f t="shared" si="29"/>
        <v>0.78539816339744828</v>
      </c>
      <c r="V163">
        <f t="shared" si="29"/>
        <v>0.78539816339744828</v>
      </c>
      <c r="W163">
        <f t="shared" si="29"/>
        <v>0.78539816339744828</v>
      </c>
      <c r="X163">
        <f t="shared" si="29"/>
        <v>0.78539816339744828</v>
      </c>
      <c r="Y163">
        <f t="shared" si="29"/>
        <v>0.78539816339744828</v>
      </c>
      <c r="Z163">
        <f t="shared" si="29"/>
        <v>0.78539816339744828</v>
      </c>
      <c r="AA163">
        <f t="shared" si="29"/>
        <v>0.78539816339744828</v>
      </c>
      <c r="AB163">
        <f t="shared" si="29"/>
        <v>0.78539816339744828</v>
      </c>
    </row>
    <row r="164" spans="14:28" x14ac:dyDescent="0.3">
      <c r="N164">
        <f t="shared" si="26"/>
        <v>50000</v>
      </c>
      <c r="O164">
        <f t="shared" si="28"/>
        <v>0.78539816339744828</v>
      </c>
      <c r="P164">
        <f t="shared" si="29"/>
        <v>0.78539816339744828</v>
      </c>
      <c r="Q164">
        <f t="shared" si="29"/>
        <v>0.78539816339744828</v>
      </c>
      <c r="R164">
        <f t="shared" si="29"/>
        <v>0.78539816339744828</v>
      </c>
      <c r="S164">
        <f t="shared" si="29"/>
        <v>0.78539816339744828</v>
      </c>
      <c r="T164">
        <f t="shared" si="29"/>
        <v>0.78539816339744828</v>
      </c>
      <c r="U164">
        <f t="shared" si="29"/>
        <v>0.78539816339744828</v>
      </c>
      <c r="V164">
        <f t="shared" si="29"/>
        <v>0.78539816339744828</v>
      </c>
      <c r="W164">
        <f t="shared" si="29"/>
        <v>0.78539816339744828</v>
      </c>
      <c r="X164">
        <f t="shared" si="29"/>
        <v>0.78539816339744828</v>
      </c>
      <c r="Y164">
        <f t="shared" si="29"/>
        <v>0.78539816339744828</v>
      </c>
      <c r="Z164">
        <f t="shared" si="29"/>
        <v>0.78539816339744828</v>
      </c>
      <c r="AA164">
        <f t="shared" si="29"/>
        <v>0.78539816339744828</v>
      </c>
      <c r="AB164">
        <f t="shared" si="29"/>
        <v>0.78539816339744828</v>
      </c>
    </row>
    <row r="165" spans="14:28" x14ac:dyDescent="0.3">
      <c r="N165">
        <f t="shared" si="26"/>
        <v>50000</v>
      </c>
      <c r="O165">
        <f t="shared" si="28"/>
        <v>0.78539816339744828</v>
      </c>
      <c r="P165">
        <f t="shared" si="29"/>
        <v>0.78539816339744828</v>
      </c>
      <c r="Q165">
        <f t="shared" si="29"/>
        <v>0.78539816339744828</v>
      </c>
      <c r="R165">
        <f t="shared" si="29"/>
        <v>0.78539816339744828</v>
      </c>
      <c r="S165">
        <f t="shared" si="29"/>
        <v>0.78539816339744828</v>
      </c>
      <c r="T165">
        <f t="shared" si="29"/>
        <v>0.78539816339744828</v>
      </c>
      <c r="U165">
        <f t="shared" si="29"/>
        <v>0.78539816339744828</v>
      </c>
      <c r="V165">
        <f t="shared" si="29"/>
        <v>0.78539816339744828</v>
      </c>
      <c r="W165">
        <f t="shared" si="29"/>
        <v>0.78539816339744828</v>
      </c>
      <c r="X165">
        <f t="shared" si="29"/>
        <v>0.78539816339744828</v>
      </c>
      <c r="Y165">
        <f t="shared" si="29"/>
        <v>0.78539816339744828</v>
      </c>
      <c r="Z165">
        <f t="shared" si="29"/>
        <v>0.78539816339744828</v>
      </c>
      <c r="AA165">
        <f t="shared" si="29"/>
        <v>0.78539816339744828</v>
      </c>
      <c r="AB165">
        <f t="shared" si="29"/>
        <v>0.78539816339744828</v>
      </c>
    </row>
    <row r="166" spans="14:28" x14ac:dyDescent="0.3">
      <c r="N166">
        <f t="shared" si="26"/>
        <v>50000</v>
      </c>
      <c r="O166">
        <f t="shared" si="28"/>
        <v>0.78539816339744828</v>
      </c>
      <c r="P166">
        <f t="shared" si="29"/>
        <v>0.78539816339744828</v>
      </c>
      <c r="Q166">
        <f t="shared" si="29"/>
        <v>0.78539816339744828</v>
      </c>
      <c r="R166">
        <f t="shared" si="29"/>
        <v>0.78539816339744828</v>
      </c>
      <c r="S166">
        <f t="shared" si="29"/>
        <v>0.78539816339744828</v>
      </c>
      <c r="T166">
        <f t="shared" si="29"/>
        <v>0.78539816339744828</v>
      </c>
      <c r="U166">
        <f t="shared" si="29"/>
        <v>0.78539816339744828</v>
      </c>
      <c r="V166">
        <f t="shared" si="29"/>
        <v>0.78539816339744828</v>
      </c>
      <c r="W166">
        <f t="shared" si="29"/>
        <v>0.78539816339744828</v>
      </c>
      <c r="X166">
        <f t="shared" si="29"/>
        <v>0.78539816339744828</v>
      </c>
      <c r="Y166">
        <f t="shared" si="29"/>
        <v>0.78539816339744828</v>
      </c>
      <c r="Z166">
        <f t="shared" si="29"/>
        <v>0.78539816339744828</v>
      </c>
      <c r="AA166">
        <f t="shared" si="29"/>
        <v>0.78539816339744828</v>
      </c>
      <c r="AB166">
        <f t="shared" si="29"/>
        <v>0.78539816339744828</v>
      </c>
    </row>
    <row r="167" spans="14:28" x14ac:dyDescent="0.3">
      <c r="N167">
        <f t="shared" si="26"/>
        <v>50000</v>
      </c>
      <c r="O167">
        <f t="shared" si="28"/>
        <v>0.78539816339744828</v>
      </c>
      <c r="P167">
        <f t="shared" si="29"/>
        <v>0.78539816339744828</v>
      </c>
      <c r="Q167">
        <f t="shared" si="29"/>
        <v>0.78539816339744828</v>
      </c>
      <c r="R167">
        <f t="shared" si="29"/>
        <v>0.78539816339744828</v>
      </c>
      <c r="S167">
        <f t="shared" si="29"/>
        <v>0.78539816339744828</v>
      </c>
      <c r="T167">
        <f t="shared" si="29"/>
        <v>0.78539816339744828</v>
      </c>
      <c r="U167">
        <f t="shared" si="29"/>
        <v>0.78539816339744828</v>
      </c>
      <c r="V167">
        <f t="shared" si="29"/>
        <v>0.78539816339744828</v>
      </c>
      <c r="W167">
        <f t="shared" si="29"/>
        <v>0.78539816339744828</v>
      </c>
      <c r="X167">
        <f t="shared" si="29"/>
        <v>0.78539816339744828</v>
      </c>
      <c r="Y167">
        <f t="shared" si="29"/>
        <v>0.78539816339744828</v>
      </c>
      <c r="Z167">
        <f t="shared" si="29"/>
        <v>0.78539816339744828</v>
      </c>
      <c r="AA167">
        <f t="shared" si="29"/>
        <v>0.78539816339744828</v>
      </c>
      <c r="AB167">
        <f t="shared" si="29"/>
        <v>0.78539816339744828</v>
      </c>
    </row>
    <row r="168" spans="14:28" x14ac:dyDescent="0.3">
      <c r="N168">
        <f t="shared" si="26"/>
        <v>50000</v>
      </c>
      <c r="O168">
        <f t="shared" si="28"/>
        <v>0.78539816339744828</v>
      </c>
      <c r="P168">
        <f t="shared" si="29"/>
        <v>0.78539816339744828</v>
      </c>
      <c r="Q168">
        <f t="shared" si="29"/>
        <v>0.78539816339744828</v>
      </c>
      <c r="R168">
        <f t="shared" si="29"/>
        <v>0.78539816339744828</v>
      </c>
      <c r="S168">
        <f t="shared" si="29"/>
        <v>0.78539816339744828</v>
      </c>
      <c r="T168">
        <f t="shared" si="29"/>
        <v>0.78539816339744828</v>
      </c>
      <c r="U168">
        <f t="shared" si="29"/>
        <v>0.78539816339744828</v>
      </c>
      <c r="V168">
        <f t="shared" si="29"/>
        <v>0.78539816339744828</v>
      </c>
      <c r="W168">
        <f t="shared" si="29"/>
        <v>0.78539816339744828</v>
      </c>
      <c r="X168">
        <f t="shared" si="29"/>
        <v>0.78539816339744828</v>
      </c>
      <c r="Y168">
        <f t="shared" si="29"/>
        <v>0.78539816339744828</v>
      </c>
      <c r="Z168">
        <f t="shared" si="29"/>
        <v>0.78539816339744828</v>
      </c>
      <c r="AA168">
        <f t="shared" si="29"/>
        <v>0.78539816339744828</v>
      </c>
      <c r="AB168">
        <f t="shared" si="29"/>
        <v>0.78539816339744828</v>
      </c>
    </row>
    <row r="169" spans="14:28" x14ac:dyDescent="0.3">
      <c r="N169">
        <f t="shared" si="26"/>
        <v>50000</v>
      </c>
      <c r="O169">
        <f t="shared" si="28"/>
        <v>0.78539816339744828</v>
      </c>
      <c r="P169">
        <f t="shared" si="29"/>
        <v>0.78539816339744828</v>
      </c>
      <c r="Q169">
        <f t="shared" si="29"/>
        <v>0.78539816339744828</v>
      </c>
      <c r="R169">
        <f t="shared" si="29"/>
        <v>0.78539816339744828</v>
      </c>
      <c r="S169">
        <f t="shared" si="29"/>
        <v>0.78539816339744828</v>
      </c>
      <c r="T169">
        <f t="shared" si="29"/>
        <v>0.78539816339744828</v>
      </c>
      <c r="U169">
        <f t="shared" si="29"/>
        <v>0.78539816339744828</v>
      </c>
      <c r="V169">
        <f t="shared" si="29"/>
        <v>0.78539816339744828</v>
      </c>
      <c r="W169">
        <f t="shared" si="29"/>
        <v>0.78539816339744828</v>
      </c>
      <c r="X169">
        <f t="shared" si="29"/>
        <v>0.78539816339744828</v>
      </c>
      <c r="Y169">
        <f t="shared" si="29"/>
        <v>0.78539816339744828</v>
      </c>
      <c r="Z169">
        <f t="shared" si="29"/>
        <v>0.78539816339744828</v>
      </c>
      <c r="AA169">
        <f t="shared" si="29"/>
        <v>0.78539816339744828</v>
      </c>
      <c r="AB169">
        <f t="shared" si="29"/>
        <v>0.78539816339744828</v>
      </c>
    </row>
    <row r="170" spans="14:28" x14ac:dyDescent="0.3">
      <c r="N170">
        <f t="shared" si="26"/>
        <v>50000</v>
      </c>
      <c r="O170">
        <f t="shared" si="28"/>
        <v>0.78539816339744828</v>
      </c>
      <c r="P170">
        <f t="shared" si="29"/>
        <v>0.78539816339744828</v>
      </c>
      <c r="Q170">
        <f t="shared" si="29"/>
        <v>0.78539816339744828</v>
      </c>
      <c r="R170">
        <f t="shared" si="29"/>
        <v>0.78539816339744828</v>
      </c>
      <c r="S170">
        <f t="shared" si="29"/>
        <v>0.78539816339744828</v>
      </c>
      <c r="T170">
        <f t="shared" si="29"/>
        <v>0.78539816339744828</v>
      </c>
      <c r="U170">
        <f t="shared" si="29"/>
        <v>0.78539816339744828</v>
      </c>
      <c r="V170">
        <f t="shared" si="29"/>
        <v>0.78539816339744828</v>
      </c>
      <c r="W170">
        <f t="shared" si="29"/>
        <v>0.78539816339744828</v>
      </c>
      <c r="X170">
        <f t="shared" si="29"/>
        <v>0.78539816339744828</v>
      </c>
      <c r="Y170">
        <f t="shared" si="29"/>
        <v>0.78539816339744828</v>
      </c>
      <c r="Z170">
        <f t="shared" si="29"/>
        <v>0.78539816339744828</v>
      </c>
      <c r="AA170">
        <f t="shared" si="29"/>
        <v>0.78539816339744828</v>
      </c>
      <c r="AB170">
        <f t="shared" si="29"/>
        <v>0.78539816339744828</v>
      </c>
    </row>
    <row r="171" spans="14:28" x14ac:dyDescent="0.3">
      <c r="N171">
        <f t="shared" si="26"/>
        <v>50000</v>
      </c>
      <c r="O171">
        <f t="shared" si="28"/>
        <v>0.78539816339744828</v>
      </c>
      <c r="P171">
        <f t="shared" si="29"/>
        <v>0.78539816339744828</v>
      </c>
      <c r="Q171">
        <f t="shared" si="29"/>
        <v>0.78539816339744828</v>
      </c>
      <c r="R171">
        <f t="shared" si="29"/>
        <v>0.78539816339744828</v>
      </c>
      <c r="S171">
        <f t="shared" si="29"/>
        <v>0.78539816339744828</v>
      </c>
      <c r="T171">
        <f t="shared" si="29"/>
        <v>0.78539816339744828</v>
      </c>
      <c r="U171">
        <f t="shared" si="29"/>
        <v>0.78539816339744828</v>
      </c>
      <c r="V171">
        <f t="shared" si="29"/>
        <v>0.78539816339744828</v>
      </c>
      <c r="W171">
        <f t="shared" si="29"/>
        <v>0.78539816339744828</v>
      </c>
      <c r="X171">
        <f t="shared" si="29"/>
        <v>0.78539816339744828</v>
      </c>
      <c r="Y171">
        <f t="shared" si="29"/>
        <v>0.78539816339744828</v>
      </c>
      <c r="Z171">
        <f t="shared" si="29"/>
        <v>0.78539816339744828</v>
      </c>
      <c r="AA171">
        <f t="shared" si="29"/>
        <v>0.78539816339744828</v>
      </c>
      <c r="AB171">
        <f t="shared" si="29"/>
        <v>0.78539816339744828</v>
      </c>
    </row>
    <row r="172" spans="14:28" x14ac:dyDescent="0.3">
      <c r="N172">
        <f t="shared" si="26"/>
        <v>50000</v>
      </c>
      <c r="O172">
        <f t="shared" si="28"/>
        <v>0.78539816339744828</v>
      </c>
      <c r="P172">
        <f t="shared" si="29"/>
        <v>0.78539816339744828</v>
      </c>
      <c r="Q172">
        <f t="shared" si="29"/>
        <v>0.78539816339744828</v>
      </c>
      <c r="R172">
        <f t="shared" si="29"/>
        <v>0.78539816339744828</v>
      </c>
      <c r="S172">
        <f t="shared" si="29"/>
        <v>0.78539816339744828</v>
      </c>
      <c r="T172">
        <f t="shared" si="29"/>
        <v>0.78539816339744828</v>
      </c>
      <c r="U172">
        <f t="shared" si="29"/>
        <v>0.78539816339744828</v>
      </c>
      <c r="V172">
        <f t="shared" si="29"/>
        <v>0.78539816339744828</v>
      </c>
      <c r="W172">
        <f t="shared" si="29"/>
        <v>0.78539816339744828</v>
      </c>
      <c r="X172">
        <f t="shared" si="29"/>
        <v>0.78539816339744828</v>
      </c>
      <c r="Y172">
        <f t="shared" si="29"/>
        <v>0.78539816339744828</v>
      </c>
      <c r="Z172">
        <f t="shared" si="29"/>
        <v>0.78539816339744828</v>
      </c>
      <c r="AA172">
        <f t="shared" si="29"/>
        <v>0.78539816339744828</v>
      </c>
      <c r="AB172">
        <f t="shared" si="29"/>
        <v>0.78539816339744828</v>
      </c>
    </row>
    <row r="173" spans="14:28" x14ac:dyDescent="0.3">
      <c r="N173">
        <f t="shared" si="26"/>
        <v>50000</v>
      </c>
      <c r="O173">
        <f t="shared" si="28"/>
        <v>0.78539816339744828</v>
      </c>
      <c r="P173">
        <f t="shared" si="29"/>
        <v>0.78539816339744828</v>
      </c>
      <c r="Q173">
        <f t="shared" si="29"/>
        <v>0.78539816339744828</v>
      </c>
      <c r="R173">
        <f t="shared" si="29"/>
        <v>0.78539816339744828</v>
      </c>
      <c r="S173">
        <f t="shared" si="29"/>
        <v>0.78539816339744828</v>
      </c>
      <c r="T173">
        <f t="shared" si="29"/>
        <v>0.78539816339744828</v>
      </c>
      <c r="U173">
        <f t="shared" si="29"/>
        <v>0.78539816339744828</v>
      </c>
      <c r="V173">
        <f t="shared" si="29"/>
        <v>0.78539816339744828</v>
      </c>
      <c r="W173">
        <f t="shared" si="29"/>
        <v>0.78539816339744828</v>
      </c>
      <c r="X173">
        <f t="shared" si="29"/>
        <v>0.78539816339744828</v>
      </c>
      <c r="Y173">
        <f t="shared" si="29"/>
        <v>0.78539816339744828</v>
      </c>
      <c r="Z173">
        <f t="shared" si="29"/>
        <v>0.78539816339744828</v>
      </c>
      <c r="AA173">
        <f t="shared" si="29"/>
        <v>0.78539816339744828</v>
      </c>
      <c r="AB173">
        <f t="shared" si="29"/>
        <v>0.78539816339744828</v>
      </c>
    </row>
    <row r="174" spans="14:28" x14ac:dyDescent="0.3">
      <c r="N174">
        <f t="shared" si="26"/>
        <v>50000</v>
      </c>
      <c r="O174">
        <f t="shared" si="28"/>
        <v>0.78539816339744828</v>
      </c>
      <c r="P174">
        <f t="shared" si="29"/>
        <v>0.78539816339744828</v>
      </c>
      <c r="Q174">
        <f t="shared" si="29"/>
        <v>0.78539816339744828</v>
      </c>
      <c r="R174">
        <f t="shared" si="29"/>
        <v>0.78539816339744828</v>
      </c>
      <c r="S174">
        <f t="shared" si="29"/>
        <v>0.78539816339744828</v>
      </c>
      <c r="T174">
        <f t="shared" si="29"/>
        <v>0.78539816339744828</v>
      </c>
      <c r="U174">
        <f t="shared" si="29"/>
        <v>0.78539816339744828</v>
      </c>
      <c r="V174">
        <f t="shared" si="29"/>
        <v>0.78539816339744828</v>
      </c>
      <c r="W174">
        <f t="shared" si="29"/>
        <v>0.78539816339744828</v>
      </c>
      <c r="X174">
        <f t="shared" si="29"/>
        <v>0.78539816339744828</v>
      </c>
      <c r="Y174">
        <f t="shared" si="29"/>
        <v>0.78539816339744828</v>
      </c>
      <c r="Z174">
        <f t="shared" si="29"/>
        <v>0.78539816339744828</v>
      </c>
      <c r="AA174">
        <f t="shared" si="29"/>
        <v>0.78539816339744828</v>
      </c>
      <c r="AB174">
        <f t="shared" si="29"/>
        <v>0.78539816339744828</v>
      </c>
    </row>
    <row r="175" spans="14:28" x14ac:dyDescent="0.3">
      <c r="N175">
        <f t="shared" si="26"/>
        <v>50000</v>
      </c>
      <c r="O175">
        <f t="shared" si="28"/>
        <v>0.78539816339744828</v>
      </c>
      <c r="P175">
        <f t="shared" si="29"/>
        <v>0.78539816339744828</v>
      </c>
      <c r="Q175">
        <f t="shared" si="29"/>
        <v>0.78539816339744828</v>
      </c>
      <c r="R175">
        <f t="shared" si="29"/>
        <v>0.78539816339744828</v>
      </c>
      <c r="S175">
        <f t="shared" si="29"/>
        <v>0.78539816339744828</v>
      </c>
      <c r="T175">
        <f t="shared" si="29"/>
        <v>0.78539816339744828</v>
      </c>
      <c r="U175">
        <f t="shared" si="29"/>
        <v>0.78539816339744828</v>
      </c>
      <c r="V175">
        <f t="shared" si="29"/>
        <v>0.78539816339744828</v>
      </c>
      <c r="W175">
        <f t="shared" si="29"/>
        <v>0.78539816339744828</v>
      </c>
      <c r="X175">
        <f t="shared" si="29"/>
        <v>0.78539816339744828</v>
      </c>
      <c r="Y175">
        <f t="shared" si="29"/>
        <v>0.78539816339744828</v>
      </c>
      <c r="Z175">
        <f t="shared" si="29"/>
        <v>0.78539816339744828</v>
      </c>
      <c r="AA175">
        <f t="shared" si="29"/>
        <v>0.78539816339744828</v>
      </c>
      <c r="AB175">
        <f t="shared" si="29"/>
        <v>0.78539816339744828</v>
      </c>
    </row>
    <row r="176" spans="14:28" x14ac:dyDescent="0.3">
      <c r="N176">
        <f t="shared" si="26"/>
        <v>50000</v>
      </c>
      <c r="O176">
        <f t="shared" si="28"/>
        <v>0.78539816339744828</v>
      </c>
      <c r="P176">
        <f t="shared" si="29"/>
        <v>0.78539816339744828</v>
      </c>
      <c r="Q176">
        <f t="shared" si="29"/>
        <v>0.78539816339744828</v>
      </c>
      <c r="R176">
        <f t="shared" si="29"/>
        <v>0.78539816339744828</v>
      </c>
      <c r="S176">
        <f t="shared" si="29"/>
        <v>0.78539816339744828</v>
      </c>
      <c r="T176">
        <f t="shared" si="29"/>
        <v>0.78539816339744828</v>
      </c>
      <c r="U176">
        <f t="shared" si="29"/>
        <v>0.78539816339744828</v>
      </c>
      <c r="V176">
        <f t="shared" si="29"/>
        <v>0.78539816339744828</v>
      </c>
      <c r="W176">
        <f t="shared" si="29"/>
        <v>0.78539816339744828</v>
      </c>
      <c r="X176">
        <f t="shared" si="29"/>
        <v>0.78539816339744828</v>
      </c>
      <c r="Y176">
        <f t="shared" si="29"/>
        <v>0.78539816339744828</v>
      </c>
      <c r="Z176">
        <f t="shared" si="29"/>
        <v>0.78539816339744828</v>
      </c>
      <c r="AA176">
        <f t="shared" si="29"/>
        <v>0.78539816339744828</v>
      </c>
      <c r="AB176">
        <f t="shared" si="29"/>
        <v>0.78539816339744828</v>
      </c>
    </row>
  </sheetData>
  <mergeCells count="3">
    <mergeCell ref="B3:J3"/>
    <mergeCell ref="B30:J30"/>
    <mergeCell ref="B57:J57"/>
  </mergeCells>
  <pageMargins left="0.7" right="0.7" top="0.78740157499999996" bottom="0.78740157499999996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82"/>
  <sheetViews>
    <sheetView tabSelected="1" zoomScaleNormal="100" workbookViewId="0">
      <selection activeCell="M40" sqref="M40"/>
    </sheetView>
  </sheetViews>
  <sheetFormatPr baseColWidth="10" defaultRowHeight="14.4" x14ac:dyDescent="0.3"/>
  <cols>
    <col min="1" max="1" width="26.109375" bestFit="1" customWidth="1"/>
    <col min="2" max="2" width="16.5546875" bestFit="1" customWidth="1"/>
    <col min="4" max="4" width="17" bestFit="1" customWidth="1"/>
  </cols>
  <sheetData>
    <row r="1" spans="1:4" x14ac:dyDescent="0.3">
      <c r="A1" s="1" t="s">
        <v>16</v>
      </c>
    </row>
    <row r="3" spans="1:4" x14ac:dyDescent="0.3">
      <c r="A3" s="5" t="s">
        <v>32</v>
      </c>
      <c r="B3" s="5" t="s">
        <v>0</v>
      </c>
      <c r="C3" s="5" t="s">
        <v>25</v>
      </c>
      <c r="D3" s="5" t="s">
        <v>26</v>
      </c>
    </row>
    <row r="4" spans="1:4" x14ac:dyDescent="0.3">
      <c r="A4" s="12">
        <v>2</v>
      </c>
      <c r="B4" s="12">
        <v>1.7</v>
      </c>
      <c r="C4">
        <f>B4*9.81</f>
        <v>16.677</v>
      </c>
      <c r="D4">
        <f>C4/(PI()/4*A4^2)</f>
        <v>5.3084539718870767</v>
      </c>
    </row>
    <row r="5" spans="1:4" x14ac:dyDescent="0.3">
      <c r="A5" s="12">
        <v>2</v>
      </c>
      <c r="B5" s="12">
        <v>7.85</v>
      </c>
      <c r="C5">
        <f>B5*9.81</f>
        <v>77.008499999999998</v>
      </c>
      <c r="D5">
        <f>C5/(PI()/4*A5^2)</f>
        <v>24.512566870184443</v>
      </c>
    </row>
    <row r="6" spans="1:4" x14ac:dyDescent="0.3">
      <c r="A6" s="12">
        <v>2</v>
      </c>
      <c r="B6" s="12">
        <v>6.15</v>
      </c>
      <c r="C6">
        <f>B6*9.81</f>
        <v>60.331500000000005</v>
      </c>
      <c r="D6">
        <f>C6/(PI()/4*A6^2)</f>
        <v>19.204112898297371</v>
      </c>
    </row>
    <row r="7" spans="1:4" x14ac:dyDescent="0.3">
      <c r="A7" s="12">
        <v>1</v>
      </c>
      <c r="B7" s="12">
        <v>4.1500000000000004</v>
      </c>
      <c r="C7">
        <f>B7*9.81</f>
        <v>40.711500000000008</v>
      </c>
      <c r="D7">
        <f>C7/(PI()/4*A7^2)</f>
        <v>51.835491725485589</v>
      </c>
    </row>
    <row r="8" spans="1:4" x14ac:dyDescent="0.3">
      <c r="A8" s="12">
        <v>3</v>
      </c>
      <c r="B8" s="12">
        <v>6</v>
      </c>
      <c r="C8">
        <f>B8*9.81</f>
        <v>58.86</v>
      </c>
      <c r="D8">
        <f>C8/(PI()/4*A8^2)</f>
        <v>8.326986622567965</v>
      </c>
    </row>
    <row r="9" spans="1:4" x14ac:dyDescent="0.3">
      <c r="A9" s="12">
        <v>4</v>
      </c>
      <c r="B9" s="12">
        <v>17.55</v>
      </c>
      <c r="C9">
        <f>B9*9.81</f>
        <v>172.16550000000001</v>
      </c>
      <c r="D9">
        <f>C9/(PI()/4*A9^2)</f>
        <v>13.700495177443855</v>
      </c>
    </row>
    <row r="10" spans="1:4" x14ac:dyDescent="0.3">
      <c r="A10" s="12">
        <v>1</v>
      </c>
      <c r="B10" s="12">
        <v>1.25</v>
      </c>
      <c r="C10">
        <f>B10*9.81</f>
        <v>12.262500000000001</v>
      </c>
      <c r="D10">
        <f>C10/(PI()/4*A10^2)</f>
        <v>15.613099917314935</v>
      </c>
    </row>
    <row r="11" spans="1:4" x14ac:dyDescent="0.3">
      <c r="A11" s="12">
        <v>1</v>
      </c>
      <c r="B11" s="12">
        <v>2.25</v>
      </c>
      <c r="C11">
        <f>B11*9.81</f>
        <v>22.072500000000002</v>
      </c>
      <c r="D11">
        <f>C11/(PI()/4*A11^2)</f>
        <v>28.103579851166881</v>
      </c>
    </row>
    <row r="12" spans="1:4" x14ac:dyDescent="0.3">
      <c r="A12" s="12">
        <v>1</v>
      </c>
      <c r="B12" s="12">
        <v>2.7</v>
      </c>
      <c r="C12">
        <f>B12*9.81</f>
        <v>26.487000000000002</v>
      </c>
      <c r="D12">
        <f>C12/(PI()/4*A12^2)</f>
        <v>33.724295821400261</v>
      </c>
    </row>
    <row r="13" spans="1:4" x14ac:dyDescent="0.3">
      <c r="A13" s="12">
        <v>2</v>
      </c>
      <c r="B13" s="12">
        <v>8.5</v>
      </c>
      <c r="C13">
        <f>B13*9.81</f>
        <v>83.385000000000005</v>
      </c>
      <c r="D13">
        <f>C13/(PI()/4*A13^2)</f>
        <v>26.542269859435386</v>
      </c>
    </row>
    <row r="14" spans="1:4" x14ac:dyDescent="0.3">
      <c r="A14" s="12">
        <v>5</v>
      </c>
      <c r="B14" s="12">
        <v>33.85</v>
      </c>
      <c r="C14">
        <f>B14*9.81</f>
        <v>332.06850000000003</v>
      </c>
      <c r="D14">
        <f>C14/(PI()/4*A14^2)</f>
        <v>16.912109830435536</v>
      </c>
    </row>
    <row r="15" spans="1:4" x14ac:dyDescent="0.3">
      <c r="A15" s="12">
        <v>3</v>
      </c>
      <c r="B15" s="12">
        <v>20</v>
      </c>
      <c r="C15">
        <f>B15*9.81</f>
        <v>196.20000000000002</v>
      </c>
      <c r="D15">
        <f>C15/(PI()/4*A15^2)</f>
        <v>27.756622075226549</v>
      </c>
    </row>
    <row r="16" spans="1:4" x14ac:dyDescent="0.3">
      <c r="A16" s="12">
        <v>4</v>
      </c>
      <c r="B16" s="12">
        <v>27.8</v>
      </c>
      <c r="C16">
        <f>B16*9.81</f>
        <v>272.71800000000002</v>
      </c>
      <c r="D16">
        <f>C16/(PI()/4*A16^2)</f>
        <v>21.702208885067758</v>
      </c>
    </row>
    <row r="17" spans="1:4" x14ac:dyDescent="0.3">
      <c r="A17" s="12">
        <v>4</v>
      </c>
      <c r="B17" s="12">
        <v>23.05</v>
      </c>
      <c r="C17">
        <f>B17*9.81</f>
        <v>226.12050000000002</v>
      </c>
      <c r="D17">
        <f>C17/(PI()/4*A17^2)</f>
        <v>17.994097654705463</v>
      </c>
    </row>
    <row r="18" spans="1:4" x14ac:dyDescent="0.3">
      <c r="A18" s="12">
        <v>3</v>
      </c>
      <c r="B18" s="12">
        <v>25.4</v>
      </c>
      <c r="C18">
        <f>B18*9.81</f>
        <v>249.17400000000001</v>
      </c>
      <c r="D18">
        <f>C18/(PI()/4*A18^2)</f>
        <v>35.250910035537714</v>
      </c>
    </row>
    <row r="19" spans="1:4" x14ac:dyDescent="0.3">
      <c r="A19" s="12">
        <v>5</v>
      </c>
      <c r="B19" s="12">
        <v>24.2</v>
      </c>
      <c r="C19">
        <f>B19*9.81</f>
        <v>237.40200000000002</v>
      </c>
      <c r="D19">
        <f>C19/(PI()/4*A19^2)</f>
        <v>12.090784575968684</v>
      </c>
    </row>
    <row r="22" spans="1:4" x14ac:dyDescent="0.3">
      <c r="A22" s="1" t="s">
        <v>17</v>
      </c>
    </row>
    <row r="24" spans="1:4" x14ac:dyDescent="0.3">
      <c r="A24" s="5" t="s">
        <v>32</v>
      </c>
      <c r="B24" s="5" t="s">
        <v>0</v>
      </c>
      <c r="C24" s="5" t="s">
        <v>25</v>
      </c>
      <c r="D24" s="5" t="s">
        <v>26</v>
      </c>
    </row>
    <row r="25" spans="1:4" x14ac:dyDescent="0.3">
      <c r="A25" s="12">
        <v>1.5</v>
      </c>
      <c r="B25" s="12">
        <v>3.35</v>
      </c>
      <c r="C25">
        <f>B25*9.81</f>
        <v>32.863500000000002</v>
      </c>
      <c r="D25">
        <f>C25/(PI()/4*A25^2)</f>
        <v>18.596936790401788</v>
      </c>
    </row>
    <row r="26" spans="1:4" x14ac:dyDescent="0.3">
      <c r="A26" s="12">
        <v>2</v>
      </c>
      <c r="B26" s="12">
        <v>2.9</v>
      </c>
      <c r="C26">
        <f>B26*9.81</f>
        <v>28.449000000000002</v>
      </c>
      <c r="D26">
        <f>C26/(PI()/4*A26^2)</f>
        <v>9.0555979520426622</v>
      </c>
    </row>
    <row r="27" spans="1:4" x14ac:dyDescent="0.3">
      <c r="A27" s="12">
        <v>2</v>
      </c>
      <c r="B27" s="12">
        <v>3.45</v>
      </c>
      <c r="C27">
        <f>B27*9.81</f>
        <v>33.844500000000004</v>
      </c>
      <c r="D27">
        <f>C27/(PI()/4*A27^2)</f>
        <v>10.773038942947306</v>
      </c>
    </row>
    <row r="28" spans="1:4" x14ac:dyDescent="0.3">
      <c r="A28" s="12">
        <v>3.5</v>
      </c>
      <c r="B28" s="12">
        <v>13.35</v>
      </c>
      <c r="C28">
        <f>B28*9.81</f>
        <v>130.96350000000001</v>
      </c>
      <c r="D28">
        <f>C28/(PI()/4*A28^2)</f>
        <v>13.612074050361104</v>
      </c>
    </row>
    <row r="29" spans="1:4" x14ac:dyDescent="0.3">
      <c r="A29" s="12">
        <v>2.5</v>
      </c>
      <c r="B29" s="12">
        <v>6.1</v>
      </c>
      <c r="C29">
        <f>B29*9.81</f>
        <v>59.841000000000001</v>
      </c>
      <c r="D29">
        <f>C29/(PI()/4*A29^2)</f>
        <v>12.190708415439499</v>
      </c>
    </row>
    <row r="30" spans="1:4" x14ac:dyDescent="0.3">
      <c r="A30" s="12">
        <v>4.5</v>
      </c>
      <c r="B30" s="12">
        <v>22.8</v>
      </c>
      <c r="C30">
        <f>B30*9.81</f>
        <v>223.66800000000001</v>
      </c>
      <c r="D30">
        <f>C30/(PI()/4*A30^2)</f>
        <v>14.063355184781452</v>
      </c>
    </row>
    <row r="31" spans="1:4" x14ac:dyDescent="0.3">
      <c r="A31" s="12">
        <v>5</v>
      </c>
      <c r="B31" s="12">
        <v>30.65</v>
      </c>
      <c r="C31">
        <f>B31*9.81</f>
        <v>300.67649999999998</v>
      </c>
      <c r="D31">
        <f>C31/(PI()/4*A31^2)</f>
        <v>15.313328398902485</v>
      </c>
    </row>
    <row r="32" spans="1:4" x14ac:dyDescent="0.3">
      <c r="A32" s="12">
        <v>5</v>
      </c>
      <c r="B32" s="12">
        <v>17.850000000000001</v>
      </c>
      <c r="C32">
        <f>B32*9.81</f>
        <v>175.10850000000002</v>
      </c>
      <c r="D32">
        <f>C32/(PI()/4*A32^2)</f>
        <v>8.9182026727702901</v>
      </c>
    </row>
    <row r="33" spans="1:4" x14ac:dyDescent="0.3">
      <c r="A33" s="12">
        <v>4.5</v>
      </c>
      <c r="B33" s="12">
        <v>22.8</v>
      </c>
      <c r="C33">
        <f>B33*9.81</f>
        <v>223.66800000000001</v>
      </c>
      <c r="D33">
        <f>C33/(PI()/4*A33^2)</f>
        <v>14.063355184781452</v>
      </c>
    </row>
    <row r="34" spans="1:4" x14ac:dyDescent="0.3">
      <c r="A34" s="12">
        <v>5</v>
      </c>
      <c r="B34" s="12">
        <v>23.05</v>
      </c>
      <c r="C34">
        <f>B34*9.81</f>
        <v>226.12050000000002</v>
      </c>
      <c r="D34">
        <f>C34/(PI()/4*A34^2)</f>
        <v>11.516222499011494</v>
      </c>
    </row>
    <row r="35" spans="1:4" x14ac:dyDescent="0.3">
      <c r="A35" s="12">
        <v>4.5</v>
      </c>
      <c r="B35" s="12">
        <v>14.65</v>
      </c>
      <c r="C35">
        <f>B35*9.81</f>
        <v>143.71650000000002</v>
      </c>
      <c r="D35">
        <f>C35/(PI()/4*A35^2)</f>
        <v>9.036322520045978</v>
      </c>
    </row>
    <row r="36" spans="1:4" x14ac:dyDescent="0.3">
      <c r="A36" s="12">
        <v>4.5</v>
      </c>
      <c r="B36" s="12">
        <v>10.55</v>
      </c>
      <c r="C36">
        <f>B36*9.81</f>
        <v>103.49550000000001</v>
      </c>
      <c r="D36">
        <f>C36/(PI()/4*A36^2)</f>
        <v>6.5073858420808914</v>
      </c>
    </row>
    <row r="37" spans="1:4" x14ac:dyDescent="0.3">
      <c r="A37" s="12">
        <v>6</v>
      </c>
      <c r="B37" s="12">
        <v>14.4</v>
      </c>
      <c r="C37">
        <f>B37*9.81</f>
        <v>141.26400000000001</v>
      </c>
      <c r="D37">
        <f>C37/(PI()/4*A37^2)</f>
        <v>4.9961919735407792</v>
      </c>
    </row>
    <row r="38" spans="1:4" x14ac:dyDescent="0.3">
      <c r="A38" s="12">
        <v>5.5</v>
      </c>
      <c r="B38" s="12">
        <v>5.05</v>
      </c>
      <c r="C38">
        <f>B38*9.81</f>
        <v>49.540500000000002</v>
      </c>
      <c r="D38">
        <f>C38/(PI()/4*A38^2)</f>
        <v>2.0851875592050355</v>
      </c>
    </row>
    <row r="39" spans="1:4" x14ac:dyDescent="0.3">
      <c r="A39" s="12">
        <v>4.5</v>
      </c>
      <c r="B39" s="12">
        <v>9.5500000000000007</v>
      </c>
      <c r="C39">
        <f>B39*9.81</f>
        <v>93.685500000000005</v>
      </c>
      <c r="D39">
        <f>C39/(PI()/4*A39^2)</f>
        <v>5.8905720181869681</v>
      </c>
    </row>
    <row r="40" spans="1:4" x14ac:dyDescent="0.3">
      <c r="A40" s="12">
        <v>3.5</v>
      </c>
      <c r="B40" s="12">
        <v>5.8</v>
      </c>
      <c r="C40">
        <f>B40*9.81</f>
        <v>56.898000000000003</v>
      </c>
      <c r="D40">
        <f>C40/(PI()/4*A40^2)</f>
        <v>5.913859887048269</v>
      </c>
    </row>
    <row r="41" spans="1:4" x14ac:dyDescent="0.3">
      <c r="A41" s="12">
        <v>2</v>
      </c>
      <c r="B41" s="12">
        <v>2.2000000000000002</v>
      </c>
      <c r="C41">
        <f>B41*9.81</f>
        <v>21.582000000000004</v>
      </c>
      <c r="D41">
        <f>C41/(PI()/4*A41^2)</f>
        <v>6.8697639636185723</v>
      </c>
    </row>
    <row r="42" spans="1:4" x14ac:dyDescent="0.3">
      <c r="A42" s="12">
        <v>3</v>
      </c>
      <c r="B42" s="12">
        <v>1.7</v>
      </c>
      <c r="C42">
        <f>B42*9.81</f>
        <v>16.677</v>
      </c>
      <c r="D42">
        <f>C42/(PI()/4*A42^2)</f>
        <v>2.3593128763942564</v>
      </c>
    </row>
    <row r="43" spans="1:4" x14ac:dyDescent="0.3">
      <c r="A43" s="12">
        <v>1.5</v>
      </c>
      <c r="B43" s="12">
        <v>3.25</v>
      </c>
      <c r="C43">
        <f>B43*9.81</f>
        <v>31.8825</v>
      </c>
      <c r="D43">
        <f>C43/(PI()/4*A43^2)</f>
        <v>18.041804348897255</v>
      </c>
    </row>
    <row r="44" spans="1:4" x14ac:dyDescent="0.3">
      <c r="A44" s="12">
        <v>2</v>
      </c>
      <c r="B44" s="12">
        <v>2.9</v>
      </c>
      <c r="C44">
        <f>B44*9.81</f>
        <v>28.449000000000002</v>
      </c>
      <c r="D44">
        <f>C44/(PI()/4*A44^2)</f>
        <v>9.0555979520426622</v>
      </c>
    </row>
    <row r="45" spans="1:4" x14ac:dyDescent="0.3">
      <c r="A45" s="12">
        <v>2</v>
      </c>
      <c r="B45" s="12">
        <v>0.55000000000000004</v>
      </c>
      <c r="C45">
        <f>B45*9.81</f>
        <v>5.3955000000000011</v>
      </c>
      <c r="D45">
        <f>C45/(PI()/4*A45^2)</f>
        <v>1.7174409909046431</v>
      </c>
    </row>
    <row r="46" spans="1:4" x14ac:dyDescent="0.3">
      <c r="A46" s="12">
        <v>1</v>
      </c>
      <c r="B46" s="12">
        <v>0.55000000000000004</v>
      </c>
      <c r="C46">
        <f>B46*9.81</f>
        <v>5.3955000000000011</v>
      </c>
      <c r="D46">
        <f>C46/(PI()/4*A46^2)</f>
        <v>6.8697639636185723</v>
      </c>
    </row>
    <row r="47" spans="1:4" x14ac:dyDescent="0.3">
      <c r="A47" s="12">
        <v>1.5</v>
      </c>
      <c r="B47" s="12">
        <v>2.4</v>
      </c>
      <c r="C47">
        <f>B47*9.81</f>
        <v>23.544</v>
      </c>
      <c r="D47">
        <f>C47/(PI()/4*A47^2)</f>
        <v>13.323178596108743</v>
      </c>
    </row>
    <row r="48" spans="1:4" x14ac:dyDescent="0.3">
      <c r="A48" s="12">
        <v>1</v>
      </c>
      <c r="B48" s="12">
        <v>1</v>
      </c>
      <c r="C48">
        <f>B48*9.81</f>
        <v>9.81</v>
      </c>
      <c r="D48">
        <f>C48/(PI()/4*A48^2)</f>
        <v>12.490479933851947</v>
      </c>
    </row>
    <row r="49" spans="1:4" x14ac:dyDescent="0.3">
      <c r="A49" s="12">
        <v>1.5</v>
      </c>
      <c r="B49" s="12">
        <v>1.2</v>
      </c>
      <c r="C49">
        <f>B49*9.81</f>
        <v>11.772</v>
      </c>
      <c r="D49">
        <f>C49/(PI()/4*A49^2)</f>
        <v>6.6615892980543716</v>
      </c>
    </row>
    <row r="50" spans="1:4" x14ac:dyDescent="0.3">
      <c r="A50" s="12">
        <v>2</v>
      </c>
      <c r="B50" s="12">
        <v>1.3</v>
      </c>
      <c r="C50">
        <f>B50*9.81</f>
        <v>12.753000000000002</v>
      </c>
      <c r="D50">
        <f>C50/(PI()/4*A50^2)</f>
        <v>4.059405978501883</v>
      </c>
    </row>
    <row r="51" spans="1:4" x14ac:dyDescent="0.3">
      <c r="A51" s="12">
        <v>1</v>
      </c>
      <c r="B51" s="12">
        <v>2.2999999999999998</v>
      </c>
      <c r="C51">
        <f>B51*9.81</f>
        <v>22.562999999999999</v>
      </c>
      <c r="D51">
        <f>C51/(PI()/4*A51^2)</f>
        <v>28.728103847859476</v>
      </c>
    </row>
    <row r="52" spans="1:4" x14ac:dyDescent="0.3">
      <c r="A52" s="12">
        <v>1</v>
      </c>
      <c r="B52" s="12">
        <v>0.85</v>
      </c>
      <c r="C52">
        <f>B52*9.81</f>
        <v>8.3384999999999998</v>
      </c>
      <c r="D52">
        <f>C52/(PI()/4*A52^2)</f>
        <v>10.616907943774153</v>
      </c>
    </row>
    <row r="53" spans="1:4" x14ac:dyDescent="0.3">
      <c r="A53" s="12">
        <v>1</v>
      </c>
      <c r="B53" s="12">
        <v>1.9</v>
      </c>
      <c r="C53">
        <f>B53*9.81</f>
        <v>18.638999999999999</v>
      </c>
      <c r="D53">
        <f>C53/(PI()/4*A53^2)</f>
        <v>23.731911874318698</v>
      </c>
    </row>
    <row r="54" spans="1:4" x14ac:dyDescent="0.3">
      <c r="A54" s="12">
        <v>1</v>
      </c>
      <c r="B54" s="12">
        <v>0.35</v>
      </c>
      <c r="C54">
        <f>B54*9.81</f>
        <v>3.4335</v>
      </c>
      <c r="D54">
        <f>C54/(PI()/4*A54^2)</f>
        <v>4.3716679768481814</v>
      </c>
    </row>
    <row r="55" spans="1:4" x14ac:dyDescent="0.3">
      <c r="A55" s="12">
        <v>1</v>
      </c>
      <c r="B55" s="12">
        <v>0.9</v>
      </c>
      <c r="C55">
        <f>B55*9.81</f>
        <v>8.8290000000000006</v>
      </c>
      <c r="D55">
        <f>C55/(PI()/4*A55^2)</f>
        <v>11.241431940466752</v>
      </c>
    </row>
    <row r="56" spans="1:4" x14ac:dyDescent="0.3">
      <c r="A56" s="12">
        <v>1</v>
      </c>
      <c r="B56" s="12">
        <v>1.25</v>
      </c>
      <c r="C56">
        <f>B56*9.81</f>
        <v>12.262500000000001</v>
      </c>
      <c r="D56">
        <f>C56/(PI()/4*A56^2)</f>
        <v>15.613099917314935</v>
      </c>
    </row>
    <row r="57" spans="1:4" x14ac:dyDescent="0.3">
      <c r="A57" s="12">
        <v>1</v>
      </c>
      <c r="B57" s="12">
        <v>1.4</v>
      </c>
      <c r="C57">
        <f>B57*9.81</f>
        <v>13.734</v>
      </c>
      <c r="D57">
        <f>C57/(PI()/4*A57^2)</f>
        <v>17.486671907392726</v>
      </c>
    </row>
    <row r="60" spans="1:4" x14ac:dyDescent="0.3">
      <c r="A60" s="1" t="s">
        <v>18</v>
      </c>
    </row>
    <row r="62" spans="1:4" x14ac:dyDescent="0.3">
      <c r="A62" s="5" t="s">
        <v>32</v>
      </c>
      <c r="B62" s="5" t="s">
        <v>0</v>
      </c>
      <c r="C62" s="5" t="s">
        <v>25</v>
      </c>
      <c r="D62" s="5" t="s">
        <v>26</v>
      </c>
    </row>
    <row r="63" spans="1:4" x14ac:dyDescent="0.3">
      <c r="A63" s="12">
        <v>2</v>
      </c>
      <c r="B63" s="12">
        <v>1.85</v>
      </c>
      <c r="C63">
        <f t="shared" ref="C63:C81" si="0">B63*9.81</f>
        <v>18.148500000000002</v>
      </c>
      <c r="D63">
        <f>C63/(PI()/4*A63^2)</f>
        <v>5.7768469694065256</v>
      </c>
    </row>
    <row r="64" spans="1:4" x14ac:dyDescent="0.3">
      <c r="A64" s="12">
        <v>2</v>
      </c>
      <c r="B64" s="12">
        <v>3.75</v>
      </c>
      <c r="C64">
        <f t="shared" si="0"/>
        <v>36.787500000000001</v>
      </c>
      <c r="D64">
        <f>C64/(PI()/4*A64^2)</f>
        <v>11.7098249379862</v>
      </c>
    </row>
    <row r="65" spans="1:4" x14ac:dyDescent="0.3">
      <c r="A65" s="12">
        <v>2</v>
      </c>
      <c r="B65" s="12">
        <v>2.75</v>
      </c>
      <c r="C65">
        <f t="shared" si="0"/>
        <v>26.977500000000003</v>
      </c>
      <c r="D65">
        <f>C65/(PI()/4*A65^2)</f>
        <v>8.5872049545232141</v>
      </c>
    </row>
    <row r="66" spans="1:4" x14ac:dyDescent="0.3">
      <c r="A66" s="12">
        <v>1</v>
      </c>
      <c r="B66" s="12">
        <v>0.55000000000000004</v>
      </c>
      <c r="C66">
        <f t="shared" si="0"/>
        <v>5.3955000000000011</v>
      </c>
      <c r="D66">
        <f>C66/(PI()/4*A66^2)</f>
        <v>6.8697639636185723</v>
      </c>
    </row>
    <row r="67" spans="1:4" x14ac:dyDescent="0.3">
      <c r="A67" s="12">
        <v>2</v>
      </c>
      <c r="B67" s="12">
        <v>1.75</v>
      </c>
      <c r="C67">
        <f t="shared" si="0"/>
        <v>17.1675</v>
      </c>
      <c r="D67">
        <f>C67/(PI()/4*A67^2)</f>
        <v>5.4645849710602263</v>
      </c>
    </row>
    <row r="68" spans="1:4" x14ac:dyDescent="0.3">
      <c r="A68" s="12">
        <v>1</v>
      </c>
      <c r="B68" s="12">
        <v>0.1</v>
      </c>
      <c r="C68">
        <f t="shared" si="0"/>
        <v>0.98100000000000009</v>
      </c>
      <c r="D68">
        <f>C68/(PI()/4*A68^2)</f>
        <v>1.2490479933851948</v>
      </c>
    </row>
    <row r="69" spans="1:4" x14ac:dyDescent="0.3">
      <c r="A69" s="12">
        <v>1</v>
      </c>
      <c r="B69" s="12">
        <v>0.25</v>
      </c>
      <c r="C69">
        <f t="shared" si="0"/>
        <v>2.4525000000000001</v>
      </c>
      <c r="D69">
        <f>C69/(PI()/4*A69^2)</f>
        <v>3.1226199834629869</v>
      </c>
    </row>
    <row r="70" spans="1:4" x14ac:dyDescent="0.3">
      <c r="A70" s="12">
        <v>1</v>
      </c>
      <c r="B70" s="12">
        <v>0.7</v>
      </c>
      <c r="C70">
        <f t="shared" si="0"/>
        <v>6.867</v>
      </c>
      <c r="D70">
        <f>C70/(PI()/4*A70^2)</f>
        <v>8.7433359536963628</v>
      </c>
    </row>
    <row r="71" spans="1:4" x14ac:dyDescent="0.3">
      <c r="A71" s="12">
        <v>1</v>
      </c>
      <c r="B71" s="12">
        <v>0.5</v>
      </c>
      <c r="C71">
        <f t="shared" si="0"/>
        <v>4.9050000000000002</v>
      </c>
      <c r="D71">
        <f>C71/(PI()/4*A71^2)</f>
        <v>6.2452399669259737</v>
      </c>
    </row>
    <row r="72" spans="1:4" x14ac:dyDescent="0.3">
      <c r="A72" s="12">
        <v>1</v>
      </c>
      <c r="B72" s="12">
        <v>0.85</v>
      </c>
      <c r="C72">
        <f t="shared" si="0"/>
        <v>8.3384999999999998</v>
      </c>
      <c r="D72">
        <f>C72/(PI()/4*A72^2)</f>
        <v>10.616907943774153</v>
      </c>
    </row>
    <row r="73" spans="1:4" x14ac:dyDescent="0.3">
      <c r="A73" s="12">
        <v>1</v>
      </c>
      <c r="B73" s="12">
        <v>0.8</v>
      </c>
      <c r="C73">
        <f t="shared" si="0"/>
        <v>7.8480000000000008</v>
      </c>
      <c r="D73">
        <f>C73/(PI()/4*A73^2)</f>
        <v>9.9923839470815583</v>
      </c>
    </row>
    <row r="74" spans="1:4" x14ac:dyDescent="0.3">
      <c r="A74" s="12">
        <v>1</v>
      </c>
      <c r="B74" s="12">
        <v>0.25</v>
      </c>
      <c r="C74">
        <f t="shared" si="0"/>
        <v>2.4525000000000001</v>
      </c>
      <c r="D74">
        <f>C74/(PI()/4*A74^2)</f>
        <v>3.1226199834629869</v>
      </c>
    </row>
    <row r="75" spans="1:4" x14ac:dyDescent="0.3">
      <c r="A75" s="12">
        <v>2</v>
      </c>
      <c r="B75" s="12">
        <v>7.25</v>
      </c>
      <c r="C75">
        <f t="shared" si="0"/>
        <v>71.122500000000002</v>
      </c>
      <c r="D75">
        <f>C75/(PI()/4*A75^2)</f>
        <v>22.638994880106655</v>
      </c>
    </row>
    <row r="76" spans="1:4" x14ac:dyDescent="0.3">
      <c r="A76" s="12">
        <v>1</v>
      </c>
      <c r="B76" s="12">
        <v>0.45</v>
      </c>
      <c r="C76">
        <f t="shared" si="0"/>
        <v>4.4145000000000003</v>
      </c>
      <c r="D76">
        <f>C76/(PI()/4*A76^2)</f>
        <v>5.620715970233376</v>
      </c>
    </row>
    <row r="77" spans="1:4" x14ac:dyDescent="0.3">
      <c r="A77" s="12">
        <v>2</v>
      </c>
      <c r="B77" s="12">
        <v>1.2</v>
      </c>
      <c r="C77">
        <f t="shared" si="0"/>
        <v>11.772</v>
      </c>
      <c r="D77">
        <f>C77/(PI()/4*A77^2)</f>
        <v>3.7471439801555841</v>
      </c>
    </row>
    <row r="78" spans="1:4" x14ac:dyDescent="0.3">
      <c r="A78" s="12">
        <v>1</v>
      </c>
      <c r="B78" s="12">
        <v>0.3</v>
      </c>
      <c r="C78">
        <f t="shared" si="0"/>
        <v>2.9430000000000001</v>
      </c>
      <c r="D78">
        <f>C78/(PI()/4*A78^2)</f>
        <v>3.7471439801555841</v>
      </c>
    </row>
    <row r="79" spans="1:4" x14ac:dyDescent="0.3">
      <c r="A79" s="12">
        <v>5</v>
      </c>
      <c r="B79" s="12">
        <v>23.95</v>
      </c>
      <c r="C79">
        <f t="shared" si="0"/>
        <v>234.9495</v>
      </c>
      <c r="D79">
        <f>C79/(PI()/4*A79^2)</f>
        <v>11.965879776630164</v>
      </c>
    </row>
    <row r="80" spans="1:4" x14ac:dyDescent="0.3">
      <c r="A80" s="12">
        <v>4</v>
      </c>
      <c r="B80" s="12">
        <v>15.2</v>
      </c>
      <c r="C80">
        <f t="shared" si="0"/>
        <v>149.11199999999999</v>
      </c>
      <c r="D80">
        <f>C80/(PI()/4*A80^2)</f>
        <v>11.865955937159349</v>
      </c>
    </row>
    <row r="81" spans="1:4" x14ac:dyDescent="0.3">
      <c r="A81" s="12">
        <v>6</v>
      </c>
      <c r="B81" s="12">
        <v>16.95</v>
      </c>
      <c r="C81">
        <f t="shared" si="0"/>
        <v>166.27950000000001</v>
      </c>
      <c r="D81">
        <f>C81/(PI()/4*A81^2)</f>
        <v>5.8809343021886251</v>
      </c>
    </row>
    <row r="82" spans="1:4" x14ac:dyDescent="0.3">
      <c r="A82" s="12">
        <v>2</v>
      </c>
      <c r="B82" s="12">
        <v>0.2</v>
      </c>
      <c r="C82">
        <f>B82*9.81</f>
        <v>1.9620000000000002</v>
      </c>
      <c r="D82">
        <f>C82/(PI()/4*A82^2)</f>
        <v>0.62452399669259739</v>
      </c>
    </row>
  </sheetData>
  <pageMargins left="0.7" right="0.7" top="0.78740157499999996" bottom="0.78740157499999996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J40"/>
  <sheetViews>
    <sheetView topLeftCell="A14" workbookViewId="0">
      <selection activeCell="N30" sqref="N30"/>
    </sheetView>
  </sheetViews>
  <sheetFormatPr baseColWidth="10" defaultRowHeight="14.4" x14ac:dyDescent="0.3"/>
  <cols>
    <col min="1" max="1" width="24" bestFit="1" customWidth="1"/>
    <col min="2" max="2" width="19" bestFit="1" customWidth="1"/>
  </cols>
  <sheetData>
    <row r="1" spans="1:10" x14ac:dyDescent="0.3">
      <c r="A1" t="s">
        <v>16</v>
      </c>
    </row>
    <row r="3" spans="1:10" x14ac:dyDescent="0.3">
      <c r="A3" s="4"/>
      <c r="B3" s="2" t="s">
        <v>7</v>
      </c>
      <c r="C3" s="2"/>
      <c r="D3" s="2"/>
      <c r="E3" s="2"/>
      <c r="F3" s="2"/>
      <c r="G3" s="2"/>
      <c r="H3" s="2"/>
      <c r="I3" s="2"/>
      <c r="J3" s="2"/>
    </row>
    <row r="4" spans="1:10" x14ac:dyDescent="0.3">
      <c r="A4" s="2" t="s">
        <v>1</v>
      </c>
      <c r="B4" s="1">
        <v>1</v>
      </c>
      <c r="C4" s="1">
        <v>2</v>
      </c>
      <c r="D4" s="1">
        <v>3</v>
      </c>
      <c r="E4" s="1">
        <v>4</v>
      </c>
      <c r="F4" s="1">
        <v>5</v>
      </c>
      <c r="G4" s="1">
        <v>6</v>
      </c>
      <c r="H4" s="1">
        <v>7</v>
      </c>
      <c r="I4" s="1">
        <v>8</v>
      </c>
      <c r="J4" s="1">
        <v>9</v>
      </c>
    </row>
    <row r="5" spans="1:10" x14ac:dyDescent="0.3">
      <c r="A5" s="3" t="s">
        <v>2</v>
      </c>
      <c r="B5">
        <v>13</v>
      </c>
      <c r="C5">
        <v>9</v>
      </c>
      <c r="D5">
        <v>4</v>
      </c>
      <c r="E5">
        <v>5</v>
      </c>
      <c r="F5">
        <v>0</v>
      </c>
      <c r="G5">
        <v>0</v>
      </c>
      <c r="H5">
        <v>0</v>
      </c>
      <c r="I5">
        <v>0</v>
      </c>
      <c r="J5">
        <v>0</v>
      </c>
    </row>
    <row r="6" spans="1:10" x14ac:dyDescent="0.3">
      <c r="A6" s="6" t="s">
        <v>4</v>
      </c>
      <c r="B6">
        <v>9</v>
      </c>
      <c r="C6">
        <v>8</v>
      </c>
      <c r="D6">
        <v>1</v>
      </c>
      <c r="E6">
        <v>0</v>
      </c>
      <c r="F6">
        <v>1</v>
      </c>
      <c r="G6">
        <v>1</v>
      </c>
      <c r="H6">
        <v>0</v>
      </c>
      <c r="I6">
        <v>0</v>
      </c>
      <c r="J6">
        <v>0</v>
      </c>
    </row>
    <row r="7" spans="1:10" x14ac:dyDescent="0.3">
      <c r="A7" s="3" t="s">
        <v>3</v>
      </c>
      <c r="B7">
        <v>2</v>
      </c>
      <c r="C7">
        <v>6</v>
      </c>
      <c r="D7">
        <v>0</v>
      </c>
      <c r="E7">
        <v>1</v>
      </c>
      <c r="F7">
        <v>1</v>
      </c>
      <c r="G7">
        <v>0</v>
      </c>
      <c r="H7">
        <v>0</v>
      </c>
      <c r="I7">
        <v>0</v>
      </c>
      <c r="J7">
        <v>0</v>
      </c>
    </row>
    <row r="8" spans="1:10" x14ac:dyDescent="0.3">
      <c r="A8" s="3" t="s">
        <v>5</v>
      </c>
      <c r="B8">
        <v>5</v>
      </c>
      <c r="C8">
        <v>2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</row>
    <row r="9" spans="1:10" x14ac:dyDescent="0.3">
      <c r="A9" s="3" t="s">
        <v>6</v>
      </c>
      <c r="B9">
        <v>10</v>
      </c>
      <c r="C9">
        <v>4</v>
      </c>
      <c r="D9">
        <v>0</v>
      </c>
      <c r="E9">
        <v>0</v>
      </c>
      <c r="F9">
        <v>1</v>
      </c>
      <c r="G9">
        <v>0</v>
      </c>
      <c r="H9">
        <v>1</v>
      </c>
      <c r="I9">
        <v>0</v>
      </c>
      <c r="J9">
        <v>0</v>
      </c>
    </row>
    <row r="10" spans="1:10" x14ac:dyDescent="0.3">
      <c r="B10">
        <f>((-13.32)*LN(B4))+33.964</f>
        <v>33.963999999999999</v>
      </c>
      <c r="C10">
        <f>((-13.32)*LN(C4))+33.964</f>
        <v>24.73127955494153</v>
      </c>
      <c r="D10">
        <f t="shared" ref="D10:J10" si="0">((-13.32)*LN(D4))+33.964</f>
        <v>19.330484314940776</v>
      </c>
      <c r="E10">
        <f t="shared" si="0"/>
        <v>15.498559109883058</v>
      </c>
      <c r="F10">
        <f t="shared" si="0"/>
        <v>12.526287006377782</v>
      </c>
      <c r="G10">
        <f t="shared" si="0"/>
        <v>10.097763869882307</v>
      </c>
      <c r="H10">
        <f t="shared" si="0"/>
        <v>8.0444768145832271</v>
      </c>
      <c r="I10">
        <f t="shared" si="0"/>
        <v>6.2658386648245852</v>
      </c>
      <c r="J10">
        <f t="shared" si="0"/>
        <v>4.6969686298815532</v>
      </c>
    </row>
    <row r="11" spans="1:10" x14ac:dyDescent="0.3">
      <c r="A11" s="1" t="s">
        <v>13</v>
      </c>
      <c r="B11">
        <v>10.2101761241668</v>
      </c>
      <c r="C11">
        <v>28.274333882308138</v>
      </c>
      <c r="D11">
        <v>28.274333882308138</v>
      </c>
      <c r="E11">
        <v>62.831853071795862</v>
      </c>
      <c r="F11">
        <v>0</v>
      </c>
      <c r="G11">
        <v>0</v>
      </c>
      <c r="H11">
        <v>0</v>
      </c>
      <c r="I11">
        <v>0</v>
      </c>
      <c r="J11">
        <v>0</v>
      </c>
    </row>
    <row r="12" spans="1:10" x14ac:dyDescent="0.3">
      <c r="B12">
        <v>7.0685834705770345</v>
      </c>
      <c r="C12">
        <v>25.132741228718345</v>
      </c>
      <c r="D12">
        <v>7.0685834705770345</v>
      </c>
      <c r="E12">
        <v>0</v>
      </c>
      <c r="F12">
        <v>19.634954084936208</v>
      </c>
      <c r="G12">
        <v>28.274333882308138</v>
      </c>
      <c r="H12">
        <v>0</v>
      </c>
      <c r="I12">
        <v>0</v>
      </c>
      <c r="J12">
        <v>0</v>
      </c>
    </row>
    <row r="13" spans="1:10" x14ac:dyDescent="0.3">
      <c r="B13">
        <v>1.5707963267948966</v>
      </c>
      <c r="C13">
        <v>18.849555921538759</v>
      </c>
      <c r="D13">
        <v>0</v>
      </c>
      <c r="E13">
        <v>12.566370614359172</v>
      </c>
      <c r="F13">
        <v>19.634954084936208</v>
      </c>
      <c r="G13">
        <v>0</v>
      </c>
      <c r="H13">
        <v>0</v>
      </c>
      <c r="I13">
        <v>0</v>
      </c>
      <c r="J13">
        <v>0</v>
      </c>
    </row>
    <row r="14" spans="1:10" x14ac:dyDescent="0.3">
      <c r="B14">
        <v>3.9269908169872414</v>
      </c>
      <c r="C14">
        <v>6.2831853071795862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</row>
    <row r="15" spans="1:10" x14ac:dyDescent="0.3">
      <c r="B15">
        <v>7.8539816339744828</v>
      </c>
      <c r="C15">
        <v>12.566370614359172</v>
      </c>
      <c r="D15">
        <v>0</v>
      </c>
      <c r="E15">
        <v>0</v>
      </c>
      <c r="F15">
        <v>19.634954084936208</v>
      </c>
      <c r="G15">
        <v>0</v>
      </c>
      <c r="H15">
        <v>38.484510006474963</v>
      </c>
      <c r="I15">
        <v>0</v>
      </c>
      <c r="J15">
        <v>0</v>
      </c>
    </row>
    <row r="16" spans="1:10" x14ac:dyDescent="0.3">
      <c r="A16" s="1" t="s">
        <v>30</v>
      </c>
      <c r="B16">
        <f>B10*B11</f>
        <v>346.77842188120121</v>
      </c>
      <c r="C16">
        <f>C10*C11</f>
        <v>699.26045547311787</v>
      </c>
      <c r="D16">
        <f t="shared" ref="D16:J16" si="1">D10*D11</f>
        <v>546.556567627356</v>
      </c>
      <c r="E16">
        <f t="shared" si="1"/>
        <v>973.80318881671553</v>
      </c>
      <c r="F16">
        <f t="shared" si="1"/>
        <v>0</v>
      </c>
      <c r="G16">
        <f t="shared" si="1"/>
        <v>0</v>
      </c>
      <c r="H16">
        <f t="shared" si="1"/>
        <v>0</v>
      </c>
      <c r="I16">
        <f t="shared" si="1"/>
        <v>0</v>
      </c>
      <c r="J16">
        <f t="shared" si="1"/>
        <v>0</v>
      </c>
    </row>
    <row r="17" spans="1:10" x14ac:dyDescent="0.3">
      <c r="B17">
        <f>B10*B12</f>
        <v>240.07736899467838</v>
      </c>
      <c r="C17">
        <f>C10*C12</f>
        <v>621.56484930943805</v>
      </c>
      <c r="D17">
        <f t="shared" ref="D17:J17" si="2">D10*D12</f>
        <v>136.639141906839</v>
      </c>
      <c r="E17">
        <f t="shared" si="2"/>
        <v>0</v>
      </c>
      <c r="F17">
        <f t="shared" si="2"/>
        <v>245.95307022496078</v>
      </c>
      <c r="G17">
        <f t="shared" si="2"/>
        <v>285.50754712176024</v>
      </c>
      <c r="H17">
        <f t="shared" si="2"/>
        <v>0</v>
      </c>
      <c r="I17">
        <f t="shared" si="2"/>
        <v>0</v>
      </c>
      <c r="J17">
        <f t="shared" si="2"/>
        <v>0</v>
      </c>
    </row>
    <row r="18" spans="1:10" x14ac:dyDescent="0.3">
      <c r="B18">
        <f>B10*B13</f>
        <v>53.350526443261863</v>
      </c>
      <c r="C18">
        <f t="shared" ref="C18:J18" si="3">C10*C13</f>
        <v>466.17363698207856</v>
      </c>
      <c r="D18">
        <f t="shared" si="3"/>
        <v>0</v>
      </c>
      <c r="E18">
        <f t="shared" si="3"/>
        <v>194.76063776334311</v>
      </c>
      <c r="F18">
        <f t="shared" si="3"/>
        <v>245.95307022496078</v>
      </c>
      <c r="G18">
        <f t="shared" si="3"/>
        <v>0</v>
      </c>
      <c r="H18">
        <f t="shared" si="3"/>
        <v>0</v>
      </c>
      <c r="I18">
        <f t="shared" si="3"/>
        <v>0</v>
      </c>
      <c r="J18">
        <f t="shared" si="3"/>
        <v>0</v>
      </c>
    </row>
    <row r="19" spans="1:10" x14ac:dyDescent="0.3">
      <c r="B19">
        <f>B10*B14</f>
        <v>133.37631610815467</v>
      </c>
      <c r="C19">
        <f t="shared" ref="C19:J19" si="4">C10*C14</f>
        <v>155.39121232735951</v>
      </c>
      <c r="D19">
        <f t="shared" si="4"/>
        <v>0</v>
      </c>
      <c r="E19">
        <f t="shared" si="4"/>
        <v>0</v>
      </c>
      <c r="F19">
        <f t="shared" si="4"/>
        <v>0</v>
      </c>
      <c r="G19">
        <f t="shared" si="4"/>
        <v>0</v>
      </c>
      <c r="H19">
        <f t="shared" si="4"/>
        <v>0</v>
      </c>
      <c r="I19">
        <f t="shared" si="4"/>
        <v>0</v>
      </c>
      <c r="J19">
        <f t="shared" si="4"/>
        <v>0</v>
      </c>
    </row>
    <row r="20" spans="1:10" x14ac:dyDescent="0.3">
      <c r="B20">
        <f>B10*B15</f>
        <v>266.75263221630934</v>
      </c>
      <c r="C20">
        <f t="shared" ref="C20:J20" si="5">C10*C15</f>
        <v>310.78242465471902</v>
      </c>
      <c r="D20">
        <f t="shared" si="5"/>
        <v>0</v>
      </c>
      <c r="E20">
        <f t="shared" si="5"/>
        <v>0</v>
      </c>
      <c r="F20">
        <f t="shared" si="5"/>
        <v>245.95307022496078</v>
      </c>
      <c r="G20">
        <f t="shared" si="5"/>
        <v>0</v>
      </c>
      <c r="H20">
        <f t="shared" si="5"/>
        <v>309.58774846768404</v>
      </c>
      <c r="I20">
        <f t="shared" si="5"/>
        <v>0</v>
      </c>
      <c r="J20">
        <f t="shared" si="5"/>
        <v>0</v>
      </c>
    </row>
    <row r="21" spans="1:10" x14ac:dyDescent="0.3">
      <c r="A21" s="1" t="s">
        <v>31</v>
      </c>
      <c r="B21">
        <f>B16/2</f>
        <v>173.38921094060061</v>
      </c>
      <c r="C21">
        <f t="shared" ref="C21:J21" si="6">C16/2</f>
        <v>349.63022773655894</v>
      </c>
      <c r="D21">
        <f t="shared" si="6"/>
        <v>273.278283813678</v>
      </c>
      <c r="E21">
        <f t="shared" si="6"/>
        <v>486.90159440835777</v>
      </c>
      <c r="F21">
        <f t="shared" si="6"/>
        <v>0</v>
      </c>
      <c r="G21">
        <f t="shared" si="6"/>
        <v>0</v>
      </c>
      <c r="H21">
        <f t="shared" si="6"/>
        <v>0</v>
      </c>
      <c r="I21">
        <f t="shared" si="6"/>
        <v>0</v>
      </c>
      <c r="J21">
        <f t="shared" si="6"/>
        <v>0</v>
      </c>
    </row>
    <row r="22" spans="1:10" x14ac:dyDescent="0.3">
      <c r="B22">
        <f>B17/2</f>
        <v>120.03868449733919</v>
      </c>
      <c r="C22">
        <f t="shared" ref="C22:J22" si="7">C17/2</f>
        <v>310.78242465471902</v>
      </c>
      <c r="D22">
        <f t="shared" si="7"/>
        <v>68.3195709534195</v>
      </c>
      <c r="E22">
        <f t="shared" si="7"/>
        <v>0</v>
      </c>
      <c r="F22">
        <f t="shared" si="7"/>
        <v>122.97653511248039</v>
      </c>
      <c r="G22">
        <f t="shared" si="7"/>
        <v>142.75377356088012</v>
      </c>
      <c r="H22">
        <f t="shared" si="7"/>
        <v>0</v>
      </c>
      <c r="I22">
        <f t="shared" si="7"/>
        <v>0</v>
      </c>
      <c r="J22">
        <f t="shared" si="7"/>
        <v>0</v>
      </c>
    </row>
    <row r="23" spans="1:10" x14ac:dyDescent="0.3">
      <c r="B23">
        <f t="shared" ref="B23:J25" si="8">B18/2</f>
        <v>26.675263221630932</v>
      </c>
      <c r="C23">
        <f t="shared" si="8"/>
        <v>233.08681849103928</v>
      </c>
      <c r="D23">
        <f t="shared" si="8"/>
        <v>0</v>
      </c>
      <c r="E23">
        <f t="shared" si="8"/>
        <v>97.380318881671556</v>
      </c>
      <c r="F23">
        <f t="shared" si="8"/>
        <v>122.97653511248039</v>
      </c>
      <c r="G23">
        <f t="shared" si="8"/>
        <v>0</v>
      </c>
      <c r="H23">
        <f t="shared" si="8"/>
        <v>0</v>
      </c>
      <c r="I23">
        <f t="shared" si="8"/>
        <v>0</v>
      </c>
      <c r="J23">
        <f>J18/2</f>
        <v>0</v>
      </c>
    </row>
    <row r="24" spans="1:10" x14ac:dyDescent="0.3">
      <c r="B24">
        <f t="shared" si="8"/>
        <v>66.688158054077334</v>
      </c>
      <c r="C24">
        <f t="shared" si="8"/>
        <v>77.695606163679756</v>
      </c>
      <c r="D24">
        <f t="shared" si="8"/>
        <v>0</v>
      </c>
      <c r="E24">
        <f t="shared" si="8"/>
        <v>0</v>
      </c>
      <c r="F24">
        <f t="shared" si="8"/>
        <v>0</v>
      </c>
      <c r="G24">
        <f t="shared" si="8"/>
        <v>0</v>
      </c>
      <c r="H24">
        <f t="shared" si="8"/>
        <v>0</v>
      </c>
      <c r="I24">
        <f t="shared" si="8"/>
        <v>0</v>
      </c>
      <c r="J24">
        <f t="shared" si="8"/>
        <v>0</v>
      </c>
    </row>
    <row r="25" spans="1:10" x14ac:dyDescent="0.3">
      <c r="B25">
        <f t="shared" si="8"/>
        <v>133.37631610815467</v>
      </c>
      <c r="C25">
        <f t="shared" si="8"/>
        <v>155.39121232735951</v>
      </c>
      <c r="D25">
        <f t="shared" si="8"/>
        <v>0</v>
      </c>
      <c r="E25">
        <f t="shared" si="8"/>
        <v>0</v>
      </c>
      <c r="F25">
        <f t="shared" si="8"/>
        <v>122.97653511248039</v>
      </c>
      <c r="G25">
        <f t="shared" si="8"/>
        <v>0</v>
      </c>
      <c r="H25">
        <f t="shared" si="8"/>
        <v>154.79387423384202</v>
      </c>
      <c r="I25">
        <f t="shared" si="8"/>
        <v>0</v>
      </c>
      <c r="J25">
        <f t="shared" si="8"/>
        <v>0</v>
      </c>
    </row>
    <row r="32" spans="1:10" x14ac:dyDescent="0.3">
      <c r="A32" t="s">
        <v>16</v>
      </c>
    </row>
    <row r="34" spans="1:5" x14ac:dyDescent="0.3">
      <c r="A34" s="10" t="s">
        <v>21</v>
      </c>
      <c r="B34" t="s">
        <v>22</v>
      </c>
      <c r="D34" t="s">
        <v>16</v>
      </c>
      <c r="E34" t="s">
        <v>27</v>
      </c>
    </row>
    <row r="35" spans="1:5" x14ac:dyDescent="0.3">
      <c r="A35" s="11">
        <v>5</v>
      </c>
      <c r="B35">
        <v>0.25918139392115802</v>
      </c>
    </row>
    <row r="36" spans="1:5" x14ac:dyDescent="0.3">
      <c r="A36" s="11">
        <v>25</v>
      </c>
      <c r="B36">
        <v>0.105243353895258</v>
      </c>
    </row>
    <row r="37" spans="1:5" x14ac:dyDescent="0.3">
      <c r="A37" s="11">
        <v>35</v>
      </c>
      <c r="B37">
        <v>2.04203522483337E-2</v>
      </c>
    </row>
    <row r="38" spans="1:5" x14ac:dyDescent="0.3">
      <c r="A38" s="11">
        <v>45</v>
      </c>
      <c r="B38">
        <v>0.15707963267948999</v>
      </c>
    </row>
    <row r="39" spans="1:5" x14ac:dyDescent="0.3">
      <c r="A39" s="11" t="s">
        <v>19</v>
      </c>
      <c r="B39">
        <v>0.174358392274234</v>
      </c>
    </row>
    <row r="40" spans="1:5" x14ac:dyDescent="0.3">
      <c r="A40" s="11" t="s">
        <v>24</v>
      </c>
      <c r="B40">
        <v>0.7162831250184738</v>
      </c>
    </row>
  </sheetData>
  <pageMargins left="0.7" right="0.7" top="0.78740157499999996" bottom="0.78740157499999996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J40"/>
  <sheetViews>
    <sheetView workbookViewId="0">
      <selection activeCell="B25" sqref="B25:J25"/>
    </sheetView>
  </sheetViews>
  <sheetFormatPr baseColWidth="10" defaultRowHeight="14.4" x14ac:dyDescent="0.3"/>
  <cols>
    <col min="1" max="1" width="22.44140625" bestFit="1" customWidth="1"/>
    <col min="2" max="2" width="19" bestFit="1" customWidth="1"/>
  </cols>
  <sheetData>
    <row r="1" spans="1:10" x14ac:dyDescent="0.3">
      <c r="A1" t="s">
        <v>17</v>
      </c>
    </row>
    <row r="3" spans="1:10" x14ac:dyDescent="0.3">
      <c r="A3" s="4"/>
      <c r="B3" s="13" t="s">
        <v>7</v>
      </c>
      <c r="C3" s="13"/>
      <c r="D3" s="13"/>
      <c r="E3" s="13"/>
      <c r="F3" s="13"/>
      <c r="G3" s="13"/>
      <c r="H3" s="13"/>
      <c r="I3" s="13"/>
      <c r="J3" s="13"/>
    </row>
    <row r="4" spans="1:10" x14ac:dyDescent="0.3">
      <c r="A4" s="2" t="s">
        <v>1</v>
      </c>
      <c r="B4" s="1">
        <v>1</v>
      </c>
      <c r="C4" s="1">
        <v>2</v>
      </c>
      <c r="D4" s="1">
        <v>3</v>
      </c>
      <c r="E4" s="1">
        <v>4</v>
      </c>
      <c r="F4" s="1">
        <v>5</v>
      </c>
      <c r="G4" s="1">
        <v>6</v>
      </c>
      <c r="H4" s="1">
        <v>7</v>
      </c>
      <c r="I4" s="1">
        <v>8</v>
      </c>
      <c r="J4" s="1">
        <v>9</v>
      </c>
    </row>
    <row r="5" spans="1:10" x14ac:dyDescent="0.3">
      <c r="A5" s="3" t="s">
        <v>2</v>
      </c>
      <c r="B5">
        <v>15</v>
      </c>
      <c r="C5">
        <v>1</v>
      </c>
      <c r="D5">
        <v>1</v>
      </c>
      <c r="E5">
        <v>0</v>
      </c>
      <c r="F5">
        <v>0</v>
      </c>
      <c r="G5">
        <v>0</v>
      </c>
      <c r="H5">
        <v>2</v>
      </c>
      <c r="I5">
        <v>0</v>
      </c>
      <c r="J5">
        <v>0</v>
      </c>
    </row>
    <row r="6" spans="1:10" x14ac:dyDescent="0.3">
      <c r="A6" s="6" t="s">
        <v>4</v>
      </c>
      <c r="B6">
        <v>2</v>
      </c>
      <c r="C6">
        <v>2</v>
      </c>
      <c r="D6">
        <v>2</v>
      </c>
      <c r="E6">
        <v>1</v>
      </c>
      <c r="F6">
        <v>1</v>
      </c>
      <c r="G6">
        <v>0</v>
      </c>
      <c r="H6">
        <v>0</v>
      </c>
      <c r="I6">
        <v>0</v>
      </c>
      <c r="J6">
        <v>0</v>
      </c>
    </row>
    <row r="7" spans="1:10" x14ac:dyDescent="0.3">
      <c r="A7" s="3" t="s">
        <v>3</v>
      </c>
      <c r="B7">
        <v>2</v>
      </c>
      <c r="C7">
        <v>0</v>
      </c>
      <c r="D7">
        <v>1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</row>
    <row r="8" spans="1:10" x14ac:dyDescent="0.3">
      <c r="A8" s="3" t="s">
        <v>5</v>
      </c>
      <c r="B8">
        <v>1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</row>
    <row r="9" spans="1:10" x14ac:dyDescent="0.3">
      <c r="A9" s="3" t="s">
        <v>6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</row>
    <row r="10" spans="1:10" x14ac:dyDescent="0.3">
      <c r="B10">
        <f>((-8.145)*LN(B4))+19.347</f>
        <v>19.347000000000001</v>
      </c>
      <c r="C10">
        <f t="shared" ref="C10:J10" si="0">((-8.145)*LN(C4))+19.347</f>
        <v>13.701316214339247</v>
      </c>
      <c r="D10">
        <f t="shared" si="0"/>
        <v>10.398802908798247</v>
      </c>
      <c r="E10">
        <f t="shared" si="0"/>
        <v>8.0556324286784928</v>
      </c>
      <c r="F10">
        <f t="shared" si="0"/>
        <v>6.2381282032242549</v>
      </c>
      <c r="G10">
        <f t="shared" si="0"/>
        <v>4.7531191231374947</v>
      </c>
      <c r="H10">
        <f t="shared" si="0"/>
        <v>3.4975618359444756</v>
      </c>
      <c r="I10">
        <f t="shared" si="0"/>
        <v>2.4099486430177386</v>
      </c>
      <c r="J10">
        <f t="shared" si="0"/>
        <v>1.4506058175964931</v>
      </c>
    </row>
    <row r="11" spans="1:10" x14ac:dyDescent="0.3">
      <c r="A11" s="1" t="s">
        <v>13</v>
      </c>
      <c r="B11">
        <v>11.780972450961723</v>
      </c>
      <c r="C11">
        <v>3.1415926535897931</v>
      </c>
      <c r="D11">
        <v>7.0685834705770345</v>
      </c>
      <c r="E11">
        <v>0</v>
      </c>
      <c r="F11">
        <v>0</v>
      </c>
      <c r="G11">
        <v>0</v>
      </c>
      <c r="H11">
        <v>76.969020012949926</v>
      </c>
      <c r="I11">
        <v>0</v>
      </c>
      <c r="J11">
        <v>0</v>
      </c>
    </row>
    <row r="12" spans="1:10" x14ac:dyDescent="0.3">
      <c r="B12">
        <v>1.5707963267948966</v>
      </c>
      <c r="C12">
        <v>6.2831853071795862</v>
      </c>
      <c r="D12">
        <v>14.137166941154069</v>
      </c>
      <c r="E12">
        <v>12.566370614359172</v>
      </c>
      <c r="F12">
        <v>19.634954084936208</v>
      </c>
      <c r="G12">
        <v>0</v>
      </c>
      <c r="H12">
        <v>0</v>
      </c>
      <c r="I12">
        <v>0</v>
      </c>
      <c r="J12">
        <v>0</v>
      </c>
    </row>
    <row r="13" spans="1:10" x14ac:dyDescent="0.3">
      <c r="B13">
        <v>1.5707963267948966</v>
      </c>
      <c r="C13">
        <v>0</v>
      </c>
      <c r="D13">
        <v>7.0685834705770345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</row>
    <row r="14" spans="1:10" x14ac:dyDescent="0.3">
      <c r="B14">
        <v>0.78539816339744828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</row>
    <row r="15" spans="1:10" x14ac:dyDescent="0.3"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</row>
    <row r="16" spans="1:10" x14ac:dyDescent="0.3">
      <c r="A16" s="1" t="s">
        <v>30</v>
      </c>
      <c r="B16">
        <f>B10*B11</f>
        <v>227.92647400875649</v>
      </c>
      <c r="C16">
        <f>C10*C11</f>
        <v>43.043954363478896</v>
      </c>
      <c r="D16">
        <f t="shared" ref="D16:J16" si="1">D10*D11</f>
        <v>73.50480635491968</v>
      </c>
      <c r="E16">
        <f t="shared" si="1"/>
        <v>0</v>
      </c>
      <c r="F16">
        <f t="shared" si="1"/>
        <v>0</v>
      </c>
      <c r="G16">
        <f t="shared" si="1"/>
        <v>0</v>
      </c>
      <c r="H16">
        <f t="shared" si="1"/>
        <v>269.20390694734022</v>
      </c>
      <c r="I16">
        <f t="shared" si="1"/>
        <v>0</v>
      </c>
      <c r="J16">
        <f t="shared" si="1"/>
        <v>0</v>
      </c>
    </row>
    <row r="17" spans="1:10" x14ac:dyDescent="0.3">
      <c r="B17">
        <f>B10*B12</f>
        <v>30.390196534500866</v>
      </c>
      <c r="C17">
        <f>C10*C12</f>
        <v>86.087908726957792</v>
      </c>
      <c r="D17">
        <f t="shared" ref="D17:J17" si="2">D10*D12</f>
        <v>147.00961270983936</v>
      </c>
      <c r="E17">
        <f t="shared" si="2"/>
        <v>101.23006263182423</v>
      </c>
      <c r="F17">
        <f t="shared" si="2"/>
        <v>122.48536084625385</v>
      </c>
      <c r="G17">
        <f t="shared" si="2"/>
        <v>0</v>
      </c>
      <c r="H17">
        <f t="shared" si="2"/>
        <v>0</v>
      </c>
      <c r="I17">
        <f t="shared" si="2"/>
        <v>0</v>
      </c>
      <c r="J17">
        <f t="shared" si="2"/>
        <v>0</v>
      </c>
    </row>
    <row r="18" spans="1:10" x14ac:dyDescent="0.3">
      <c r="B18">
        <f>B10*B13</f>
        <v>30.390196534500866</v>
      </c>
      <c r="C18">
        <f t="shared" ref="C18:J18" si="3">C10*C13</f>
        <v>0</v>
      </c>
      <c r="D18">
        <f t="shared" si="3"/>
        <v>73.50480635491968</v>
      </c>
      <c r="E18">
        <f t="shared" si="3"/>
        <v>0</v>
      </c>
      <c r="F18">
        <f t="shared" si="3"/>
        <v>0</v>
      </c>
      <c r="G18">
        <f t="shared" si="3"/>
        <v>0</v>
      </c>
      <c r="H18">
        <f t="shared" si="3"/>
        <v>0</v>
      </c>
      <c r="I18">
        <f t="shared" si="3"/>
        <v>0</v>
      </c>
      <c r="J18">
        <f t="shared" si="3"/>
        <v>0</v>
      </c>
    </row>
    <row r="19" spans="1:10" x14ac:dyDescent="0.3">
      <c r="B19">
        <f>B10*B14</f>
        <v>15.195098267250433</v>
      </c>
      <c r="C19">
        <f t="shared" ref="C19:J19" si="4">C10*C14</f>
        <v>0</v>
      </c>
      <c r="D19">
        <f t="shared" si="4"/>
        <v>0</v>
      </c>
      <c r="E19">
        <f t="shared" si="4"/>
        <v>0</v>
      </c>
      <c r="F19">
        <f t="shared" si="4"/>
        <v>0</v>
      </c>
      <c r="G19">
        <f t="shared" si="4"/>
        <v>0</v>
      </c>
      <c r="H19">
        <f t="shared" si="4"/>
        <v>0</v>
      </c>
      <c r="I19">
        <f t="shared" si="4"/>
        <v>0</v>
      </c>
      <c r="J19">
        <f t="shared" si="4"/>
        <v>0</v>
      </c>
    </row>
    <row r="20" spans="1:10" x14ac:dyDescent="0.3">
      <c r="B20">
        <f>B10*B15</f>
        <v>0</v>
      </c>
      <c r="C20">
        <f t="shared" ref="C20:J20" si="5">C10*C15</f>
        <v>0</v>
      </c>
      <c r="D20">
        <f t="shared" si="5"/>
        <v>0</v>
      </c>
      <c r="E20">
        <f t="shared" si="5"/>
        <v>0</v>
      </c>
      <c r="F20">
        <f t="shared" si="5"/>
        <v>0</v>
      </c>
      <c r="G20">
        <f t="shared" si="5"/>
        <v>0</v>
      </c>
      <c r="H20">
        <f t="shared" si="5"/>
        <v>0</v>
      </c>
      <c r="I20">
        <f t="shared" si="5"/>
        <v>0</v>
      </c>
      <c r="J20">
        <f t="shared" si="5"/>
        <v>0</v>
      </c>
    </row>
    <row r="21" spans="1:10" x14ac:dyDescent="0.3">
      <c r="A21" s="1" t="s">
        <v>31</v>
      </c>
      <c r="B21">
        <f>B16/2</f>
        <v>113.96323700437824</v>
      </c>
      <c r="C21">
        <f t="shared" ref="C21:J22" si="6">C16/2</f>
        <v>21.521977181739448</v>
      </c>
      <c r="D21">
        <f t="shared" si="6"/>
        <v>36.75240317745984</v>
      </c>
      <c r="E21">
        <f t="shared" si="6"/>
        <v>0</v>
      </c>
      <c r="F21">
        <f t="shared" si="6"/>
        <v>0</v>
      </c>
      <c r="G21">
        <f t="shared" si="6"/>
        <v>0</v>
      </c>
      <c r="H21">
        <f t="shared" si="6"/>
        <v>134.60195347367011</v>
      </c>
      <c r="I21">
        <f t="shared" si="6"/>
        <v>0</v>
      </c>
      <c r="J21">
        <f t="shared" si="6"/>
        <v>0</v>
      </c>
    </row>
    <row r="22" spans="1:10" x14ac:dyDescent="0.3">
      <c r="B22">
        <f>B17/2</f>
        <v>15.195098267250433</v>
      </c>
      <c r="C22">
        <f t="shared" si="6"/>
        <v>43.043954363478896</v>
      </c>
      <c r="D22">
        <f t="shared" si="6"/>
        <v>73.50480635491968</v>
      </c>
      <c r="E22">
        <f t="shared" si="6"/>
        <v>50.615031315912113</v>
      </c>
      <c r="F22">
        <f t="shared" si="6"/>
        <v>61.242680423126927</v>
      </c>
      <c r="G22">
        <f t="shared" si="6"/>
        <v>0</v>
      </c>
      <c r="H22">
        <f t="shared" si="6"/>
        <v>0</v>
      </c>
      <c r="I22">
        <f t="shared" si="6"/>
        <v>0</v>
      </c>
      <c r="J22">
        <f t="shared" si="6"/>
        <v>0</v>
      </c>
    </row>
    <row r="23" spans="1:10" x14ac:dyDescent="0.3">
      <c r="B23">
        <f t="shared" ref="B23:J25" si="7">B18/2</f>
        <v>15.195098267250433</v>
      </c>
      <c r="C23">
        <f t="shared" si="7"/>
        <v>0</v>
      </c>
      <c r="D23">
        <f t="shared" si="7"/>
        <v>36.75240317745984</v>
      </c>
      <c r="E23">
        <f t="shared" si="7"/>
        <v>0</v>
      </c>
      <c r="F23">
        <f t="shared" si="7"/>
        <v>0</v>
      </c>
      <c r="G23">
        <f t="shared" si="7"/>
        <v>0</v>
      </c>
      <c r="H23">
        <f t="shared" si="7"/>
        <v>0</v>
      </c>
      <c r="I23">
        <f t="shared" si="7"/>
        <v>0</v>
      </c>
      <c r="J23">
        <f t="shared" si="7"/>
        <v>0</v>
      </c>
    </row>
    <row r="24" spans="1:10" x14ac:dyDescent="0.3">
      <c r="B24">
        <f t="shared" si="7"/>
        <v>7.5975491336252166</v>
      </c>
      <c r="C24">
        <f t="shared" si="7"/>
        <v>0</v>
      </c>
      <c r="D24">
        <f t="shared" si="7"/>
        <v>0</v>
      </c>
      <c r="E24">
        <f t="shared" si="7"/>
        <v>0</v>
      </c>
      <c r="F24">
        <f t="shared" si="7"/>
        <v>0</v>
      </c>
      <c r="G24">
        <f t="shared" si="7"/>
        <v>0</v>
      </c>
      <c r="H24">
        <f t="shared" si="7"/>
        <v>0</v>
      </c>
      <c r="I24">
        <f t="shared" si="7"/>
        <v>0</v>
      </c>
      <c r="J24">
        <f t="shared" si="7"/>
        <v>0</v>
      </c>
    </row>
    <row r="25" spans="1:10" x14ac:dyDescent="0.3">
      <c r="B25">
        <f t="shared" si="7"/>
        <v>0</v>
      </c>
      <c r="C25">
        <f t="shared" si="7"/>
        <v>0</v>
      </c>
      <c r="D25">
        <f t="shared" si="7"/>
        <v>0</v>
      </c>
      <c r="E25">
        <f t="shared" si="7"/>
        <v>0</v>
      </c>
      <c r="F25">
        <f t="shared" si="7"/>
        <v>0</v>
      </c>
      <c r="G25">
        <f t="shared" si="7"/>
        <v>0</v>
      </c>
      <c r="H25">
        <f t="shared" si="7"/>
        <v>0</v>
      </c>
      <c r="I25">
        <f t="shared" si="7"/>
        <v>0</v>
      </c>
      <c r="J25">
        <f t="shared" si="7"/>
        <v>0</v>
      </c>
    </row>
    <row r="32" spans="1:10" x14ac:dyDescent="0.3">
      <c r="A32" t="s">
        <v>17</v>
      </c>
    </row>
    <row r="34" spans="1:5" x14ac:dyDescent="0.3">
      <c r="A34" s="10" t="s">
        <v>23</v>
      </c>
      <c r="B34" t="s">
        <v>22</v>
      </c>
      <c r="D34" t="s">
        <v>17</v>
      </c>
      <c r="E34" t="s">
        <v>28</v>
      </c>
    </row>
    <row r="35" spans="1:5" x14ac:dyDescent="0.3">
      <c r="A35" s="11">
        <v>5</v>
      </c>
      <c r="B35">
        <v>0.19792033717615701</v>
      </c>
    </row>
    <row r="36" spans="1:5" x14ac:dyDescent="0.3">
      <c r="A36" s="11">
        <v>25</v>
      </c>
      <c r="B36">
        <v>1.7278759594743901E-2</v>
      </c>
    </row>
    <row r="37" spans="1:5" x14ac:dyDescent="0.3">
      <c r="A37" s="11">
        <v>35</v>
      </c>
      <c r="B37">
        <v>1.5707963267949001E-3</v>
      </c>
    </row>
    <row r="38" spans="1:5" x14ac:dyDescent="0.3">
      <c r="A38" s="11">
        <v>45</v>
      </c>
      <c r="B38">
        <v>0</v>
      </c>
    </row>
    <row r="39" spans="1:5" x14ac:dyDescent="0.3">
      <c r="A39" s="11" t="s">
        <v>19</v>
      </c>
      <c r="B39">
        <v>0.108384946548848</v>
      </c>
    </row>
    <row r="40" spans="1:5" x14ac:dyDescent="0.3">
      <c r="A40" s="11" t="s">
        <v>24</v>
      </c>
      <c r="B40">
        <v>0.32515483964654379</v>
      </c>
    </row>
  </sheetData>
  <mergeCells count="1">
    <mergeCell ref="B3:J3"/>
  </mergeCells>
  <pageMargins left="0.7" right="0.7" top="0.78740157499999996" bottom="0.78740157499999996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K40"/>
  <sheetViews>
    <sheetView topLeftCell="A22" workbookViewId="0">
      <selection activeCell="B21" sqref="B21"/>
    </sheetView>
  </sheetViews>
  <sheetFormatPr baseColWidth="10" defaultRowHeight="14.4" x14ac:dyDescent="0.3"/>
  <cols>
    <col min="1" max="1" width="24" bestFit="1" customWidth="1"/>
    <col min="2" max="2" width="19" bestFit="1" customWidth="1"/>
  </cols>
  <sheetData>
    <row r="1" spans="1:11" x14ac:dyDescent="0.3">
      <c r="A1" t="s">
        <v>18</v>
      </c>
    </row>
    <row r="3" spans="1:11" x14ac:dyDescent="0.3">
      <c r="A3" s="4"/>
      <c r="B3" s="13" t="s">
        <v>7</v>
      </c>
      <c r="C3" s="13"/>
      <c r="D3" s="13"/>
      <c r="E3" s="13"/>
      <c r="F3" s="13"/>
      <c r="G3" s="13"/>
      <c r="H3" s="13"/>
      <c r="I3" s="13"/>
      <c r="J3" s="13"/>
      <c r="K3" s="1"/>
    </row>
    <row r="4" spans="1:11" x14ac:dyDescent="0.3">
      <c r="A4" s="2" t="s">
        <v>1</v>
      </c>
      <c r="B4" s="1">
        <v>1</v>
      </c>
      <c r="C4" s="1">
        <v>2</v>
      </c>
      <c r="D4" s="1">
        <v>3</v>
      </c>
      <c r="E4" s="1">
        <v>4</v>
      </c>
      <c r="F4" s="1">
        <v>5</v>
      </c>
      <c r="G4" s="1">
        <v>6</v>
      </c>
      <c r="H4" s="1">
        <v>7</v>
      </c>
      <c r="I4" s="1">
        <v>8</v>
      </c>
      <c r="J4" s="1">
        <v>9</v>
      </c>
    </row>
    <row r="5" spans="1:11" x14ac:dyDescent="0.3">
      <c r="A5" s="3" t="s">
        <v>2</v>
      </c>
      <c r="B5">
        <v>3</v>
      </c>
      <c r="C5">
        <v>1</v>
      </c>
      <c r="D5">
        <v>1</v>
      </c>
      <c r="E5">
        <v>0</v>
      </c>
      <c r="F5">
        <v>0</v>
      </c>
      <c r="G5">
        <v>1</v>
      </c>
      <c r="H5">
        <v>0</v>
      </c>
      <c r="I5">
        <v>0</v>
      </c>
      <c r="J5">
        <v>0</v>
      </c>
    </row>
    <row r="6" spans="1:11" x14ac:dyDescent="0.3">
      <c r="A6" s="6" t="s">
        <v>4</v>
      </c>
      <c r="B6">
        <v>10</v>
      </c>
      <c r="C6">
        <v>7</v>
      </c>
      <c r="D6">
        <v>3</v>
      </c>
      <c r="E6">
        <v>0</v>
      </c>
      <c r="F6">
        <v>1</v>
      </c>
      <c r="G6">
        <v>1</v>
      </c>
      <c r="H6">
        <v>0</v>
      </c>
      <c r="I6">
        <v>0</v>
      </c>
      <c r="J6">
        <v>0</v>
      </c>
    </row>
    <row r="7" spans="1:11" x14ac:dyDescent="0.3">
      <c r="A7" s="3" t="s">
        <v>3</v>
      </c>
      <c r="B7">
        <v>16</v>
      </c>
      <c r="C7">
        <v>6</v>
      </c>
      <c r="D7">
        <v>0</v>
      </c>
      <c r="E7">
        <v>1</v>
      </c>
      <c r="F7">
        <v>3</v>
      </c>
      <c r="G7">
        <v>0</v>
      </c>
      <c r="H7">
        <v>0</v>
      </c>
      <c r="I7">
        <v>0</v>
      </c>
      <c r="J7">
        <v>0</v>
      </c>
    </row>
    <row r="8" spans="1:11" x14ac:dyDescent="0.3">
      <c r="A8" s="3" t="s">
        <v>5</v>
      </c>
      <c r="B8">
        <v>7</v>
      </c>
      <c r="C8">
        <v>4</v>
      </c>
      <c r="D8">
        <v>2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</row>
    <row r="9" spans="1:11" x14ac:dyDescent="0.3">
      <c r="A9" s="3" t="s">
        <v>6</v>
      </c>
      <c r="B9">
        <v>10</v>
      </c>
      <c r="C9">
        <v>1</v>
      </c>
      <c r="D9">
        <v>1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</row>
    <row r="10" spans="1:11" x14ac:dyDescent="0.3">
      <c r="B10">
        <f>((2.4369)*LN(B4))+6.2051</f>
        <v>6.2050999999999998</v>
      </c>
      <c r="C10">
        <f t="shared" ref="C10:J10" si="0">((2.4369)*LN(C4))+6.2051</f>
        <v>7.8942303643065301</v>
      </c>
      <c r="D10">
        <f t="shared" si="0"/>
        <v>8.8823082862553164</v>
      </c>
      <c r="E10">
        <f t="shared" si="0"/>
        <v>9.5833607286130622</v>
      </c>
      <c r="F10">
        <f t="shared" si="0"/>
        <v>10.127139248810659</v>
      </c>
      <c r="G10">
        <f t="shared" si="0"/>
        <v>10.571438650561847</v>
      </c>
      <c r="H10">
        <f t="shared" si="0"/>
        <v>10.947088442232893</v>
      </c>
      <c r="I10">
        <f t="shared" si="0"/>
        <v>11.272491092919591</v>
      </c>
      <c r="J10">
        <f t="shared" si="0"/>
        <v>11.559516572510633</v>
      </c>
    </row>
    <row r="11" spans="1:11" x14ac:dyDescent="0.3">
      <c r="A11" s="1" t="s">
        <v>13</v>
      </c>
      <c r="B11">
        <v>2.35619449019234</v>
      </c>
      <c r="C11">
        <v>3.1415926535897931</v>
      </c>
      <c r="D11">
        <v>7.0685834705770345</v>
      </c>
      <c r="E11">
        <v>0</v>
      </c>
      <c r="F11">
        <v>0</v>
      </c>
      <c r="G11">
        <v>28.274333882308138</v>
      </c>
      <c r="H11">
        <v>0</v>
      </c>
      <c r="I11">
        <v>0</v>
      </c>
      <c r="J11">
        <v>0</v>
      </c>
    </row>
    <row r="12" spans="1:11" x14ac:dyDescent="0.3">
      <c r="B12">
        <v>7.8539816339744828</v>
      </c>
      <c r="C12">
        <v>21.991148575128552</v>
      </c>
      <c r="D12">
        <v>21.205750411731103</v>
      </c>
      <c r="E12">
        <v>0</v>
      </c>
      <c r="F12">
        <v>19.634954084936208</v>
      </c>
      <c r="G12">
        <v>28.274333882308138</v>
      </c>
      <c r="H12">
        <v>0</v>
      </c>
      <c r="I12">
        <v>0</v>
      </c>
      <c r="J12">
        <v>0</v>
      </c>
    </row>
    <row r="13" spans="1:11" x14ac:dyDescent="0.3">
      <c r="B13">
        <v>12.566370614359172</v>
      </c>
      <c r="C13">
        <v>18.849555921538759</v>
      </c>
      <c r="D13">
        <v>0</v>
      </c>
      <c r="E13">
        <v>12.566370614359172</v>
      </c>
      <c r="F13">
        <v>58.90486225480862</v>
      </c>
      <c r="G13">
        <v>0</v>
      </c>
      <c r="H13">
        <v>0</v>
      </c>
      <c r="I13">
        <v>0</v>
      </c>
      <c r="J13">
        <v>0</v>
      </c>
    </row>
    <row r="14" spans="1:11" x14ac:dyDescent="0.3">
      <c r="B14">
        <v>5.497787143782138</v>
      </c>
      <c r="C14">
        <v>12.566370614359172</v>
      </c>
      <c r="D14">
        <v>14.137166941154069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</row>
    <row r="15" spans="1:11" x14ac:dyDescent="0.3">
      <c r="B15">
        <v>7.8539816339744828</v>
      </c>
      <c r="C15">
        <v>3.1415926535897931</v>
      </c>
      <c r="D15">
        <v>7.0685834705770345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</row>
    <row r="16" spans="1:11" x14ac:dyDescent="0.3">
      <c r="A16" s="1" t="s">
        <v>30</v>
      </c>
      <c r="B16">
        <f>B10*B11</f>
        <v>14.620422431092488</v>
      </c>
      <c r="C16">
        <f>C10*C11</f>
        <v>24.800456118250871</v>
      </c>
      <c r="D16">
        <f t="shared" ref="D16:J16" si="1">D10*D11</f>
        <v>62.785337532793754</v>
      </c>
      <c r="E16">
        <f t="shared" si="1"/>
        <v>0</v>
      </c>
      <c r="F16">
        <f t="shared" si="1"/>
        <v>0</v>
      </c>
      <c r="G16">
        <f t="shared" si="1"/>
        <v>298.90038602232266</v>
      </c>
      <c r="H16">
        <f t="shared" si="1"/>
        <v>0</v>
      </c>
      <c r="I16">
        <f t="shared" si="1"/>
        <v>0</v>
      </c>
      <c r="J16">
        <f t="shared" si="1"/>
        <v>0</v>
      </c>
    </row>
    <row r="17" spans="1:10" x14ac:dyDescent="0.3">
      <c r="B17">
        <f>B10*B12</f>
        <v>48.734741436975064</v>
      </c>
      <c r="C17">
        <f>C10*C12</f>
        <v>173.60319282775609</v>
      </c>
      <c r="D17">
        <f t="shared" ref="D17:J17" si="2">D10*D12</f>
        <v>188.35601259838126</v>
      </c>
      <c r="E17">
        <f t="shared" si="2"/>
        <v>0</v>
      </c>
      <c r="F17">
        <f t="shared" si="2"/>
        <v>198.84591416215264</v>
      </c>
      <c r="G17">
        <f t="shared" si="2"/>
        <v>298.90038602232266</v>
      </c>
      <c r="H17">
        <f t="shared" si="2"/>
        <v>0</v>
      </c>
      <c r="I17">
        <f t="shared" si="2"/>
        <v>0</v>
      </c>
      <c r="J17">
        <f t="shared" si="2"/>
        <v>0</v>
      </c>
    </row>
    <row r="18" spans="1:10" x14ac:dyDescent="0.3">
      <c r="B18">
        <f>B10*B13</f>
        <v>77.975586299160099</v>
      </c>
      <c r="C18">
        <f t="shared" ref="C18:J18" si="3">C10*C13</f>
        <v>148.80273670950524</v>
      </c>
      <c r="D18">
        <f t="shared" si="3"/>
        <v>0</v>
      </c>
      <c r="E18">
        <f t="shared" si="3"/>
        <v>120.4280626468469</v>
      </c>
      <c r="F18">
        <f>F10*F13</f>
        <v>596.53774248645789</v>
      </c>
      <c r="G18">
        <f t="shared" si="3"/>
        <v>0</v>
      </c>
      <c r="H18">
        <f t="shared" si="3"/>
        <v>0</v>
      </c>
      <c r="I18">
        <f t="shared" si="3"/>
        <v>0</v>
      </c>
      <c r="J18">
        <f t="shared" si="3"/>
        <v>0</v>
      </c>
    </row>
    <row r="19" spans="1:10" x14ac:dyDescent="0.3">
      <c r="B19">
        <f>B10*B14</f>
        <v>34.114319005882543</v>
      </c>
      <c r="C19">
        <f t="shared" ref="C19:J19" si="4">C10*C14</f>
        <v>99.201824473003484</v>
      </c>
      <c r="D19">
        <f t="shared" si="4"/>
        <v>125.57067506558751</v>
      </c>
      <c r="E19">
        <f t="shared" si="4"/>
        <v>0</v>
      </c>
      <c r="F19">
        <f t="shared" si="4"/>
        <v>0</v>
      </c>
      <c r="G19">
        <f t="shared" si="4"/>
        <v>0</v>
      </c>
      <c r="H19">
        <f t="shared" si="4"/>
        <v>0</v>
      </c>
      <c r="I19">
        <f t="shared" si="4"/>
        <v>0</v>
      </c>
      <c r="J19">
        <f t="shared" si="4"/>
        <v>0</v>
      </c>
    </row>
    <row r="20" spans="1:10" x14ac:dyDescent="0.3">
      <c r="B20">
        <f>B10*B15</f>
        <v>48.734741436975064</v>
      </c>
      <c r="C20">
        <f t="shared" ref="C20:J20" si="5">C10*C15</f>
        <v>24.800456118250871</v>
      </c>
      <c r="D20">
        <f t="shared" si="5"/>
        <v>62.785337532793754</v>
      </c>
      <c r="E20">
        <f t="shared" si="5"/>
        <v>0</v>
      </c>
      <c r="F20">
        <f t="shared" si="5"/>
        <v>0</v>
      </c>
      <c r="G20">
        <f t="shared" si="5"/>
        <v>0</v>
      </c>
      <c r="H20">
        <f t="shared" si="5"/>
        <v>0</v>
      </c>
      <c r="I20">
        <f t="shared" si="5"/>
        <v>0</v>
      </c>
      <c r="J20">
        <f t="shared" si="5"/>
        <v>0</v>
      </c>
    </row>
    <row r="21" spans="1:10" x14ac:dyDescent="0.3">
      <c r="A21" s="1" t="s">
        <v>31</v>
      </c>
      <c r="B21">
        <f>B16/2</f>
        <v>7.3102112155462438</v>
      </c>
      <c r="C21">
        <f t="shared" ref="C21:J22" si="6">C16/2</f>
        <v>12.400228059125435</v>
      </c>
      <c r="D21">
        <f t="shared" si="6"/>
        <v>31.392668766396877</v>
      </c>
      <c r="E21">
        <f t="shared" si="6"/>
        <v>0</v>
      </c>
      <c r="F21">
        <f t="shared" si="6"/>
        <v>0</v>
      </c>
      <c r="G21">
        <f t="shared" si="6"/>
        <v>149.45019301116133</v>
      </c>
      <c r="H21">
        <f t="shared" si="6"/>
        <v>0</v>
      </c>
      <c r="I21">
        <f t="shared" si="6"/>
        <v>0</v>
      </c>
      <c r="J21">
        <f t="shared" si="6"/>
        <v>0</v>
      </c>
    </row>
    <row r="22" spans="1:10" x14ac:dyDescent="0.3">
      <c r="B22">
        <f>B17/2</f>
        <v>24.367370718487532</v>
      </c>
      <c r="C22">
        <f t="shared" si="6"/>
        <v>86.801596413878045</v>
      </c>
      <c r="D22">
        <f t="shared" si="6"/>
        <v>94.178006299190628</v>
      </c>
      <c r="E22">
        <f t="shared" si="6"/>
        <v>0</v>
      </c>
      <c r="F22">
        <f t="shared" si="6"/>
        <v>99.422957081076319</v>
      </c>
      <c r="G22">
        <f t="shared" si="6"/>
        <v>149.45019301116133</v>
      </c>
      <c r="H22">
        <f t="shared" si="6"/>
        <v>0</v>
      </c>
      <c r="I22">
        <f t="shared" si="6"/>
        <v>0</v>
      </c>
      <c r="J22">
        <f t="shared" si="6"/>
        <v>0</v>
      </c>
    </row>
    <row r="23" spans="1:10" x14ac:dyDescent="0.3">
      <c r="B23">
        <f t="shared" ref="B23:J25" si="7">B18/2</f>
        <v>38.98779314958005</v>
      </c>
      <c r="C23">
        <f t="shared" si="7"/>
        <v>74.40136835475262</v>
      </c>
      <c r="D23">
        <f t="shared" si="7"/>
        <v>0</v>
      </c>
      <c r="E23">
        <f t="shared" si="7"/>
        <v>60.214031323423448</v>
      </c>
      <c r="F23">
        <f>F18/2</f>
        <v>298.26887124322894</v>
      </c>
      <c r="G23">
        <f t="shared" si="7"/>
        <v>0</v>
      </c>
      <c r="H23">
        <f t="shared" si="7"/>
        <v>0</v>
      </c>
      <c r="I23">
        <f t="shared" si="7"/>
        <v>0</v>
      </c>
      <c r="J23">
        <f t="shared" si="7"/>
        <v>0</v>
      </c>
    </row>
    <row r="24" spans="1:10" x14ac:dyDescent="0.3">
      <c r="B24">
        <f t="shared" si="7"/>
        <v>17.057159502941271</v>
      </c>
      <c r="C24">
        <f t="shared" si="7"/>
        <v>49.600912236501742</v>
      </c>
      <c r="D24">
        <f t="shared" si="7"/>
        <v>62.785337532793754</v>
      </c>
      <c r="E24">
        <f t="shared" si="7"/>
        <v>0</v>
      </c>
      <c r="F24">
        <f t="shared" si="7"/>
        <v>0</v>
      </c>
      <c r="G24">
        <f t="shared" si="7"/>
        <v>0</v>
      </c>
      <c r="H24">
        <f t="shared" si="7"/>
        <v>0</v>
      </c>
      <c r="I24">
        <f t="shared" si="7"/>
        <v>0</v>
      </c>
      <c r="J24">
        <f t="shared" si="7"/>
        <v>0</v>
      </c>
    </row>
    <row r="25" spans="1:10" x14ac:dyDescent="0.3">
      <c r="B25">
        <f t="shared" si="7"/>
        <v>24.367370718487532</v>
      </c>
      <c r="C25">
        <f t="shared" si="7"/>
        <v>12.400228059125435</v>
      </c>
      <c r="D25">
        <f t="shared" si="7"/>
        <v>31.392668766396877</v>
      </c>
      <c r="E25">
        <f t="shared" si="7"/>
        <v>0</v>
      </c>
      <c r="F25">
        <f t="shared" si="7"/>
        <v>0</v>
      </c>
      <c r="G25">
        <f t="shared" si="7"/>
        <v>0</v>
      </c>
      <c r="H25">
        <f t="shared" si="7"/>
        <v>0</v>
      </c>
      <c r="I25">
        <f t="shared" si="7"/>
        <v>0</v>
      </c>
      <c r="J25">
        <f t="shared" si="7"/>
        <v>0</v>
      </c>
    </row>
    <row r="32" spans="1:10" x14ac:dyDescent="0.3">
      <c r="A32" t="s">
        <v>18</v>
      </c>
    </row>
    <row r="34" spans="1:5" x14ac:dyDescent="0.3">
      <c r="A34" s="10" t="s">
        <v>23</v>
      </c>
      <c r="B34" t="s">
        <v>22</v>
      </c>
      <c r="D34" t="s">
        <v>18</v>
      </c>
      <c r="E34" t="s">
        <v>29</v>
      </c>
    </row>
    <row r="35" spans="1:5" x14ac:dyDescent="0.3">
      <c r="A35" s="11">
        <v>5</v>
      </c>
      <c r="B35">
        <v>8.1681408993334606E-2</v>
      </c>
    </row>
    <row r="36" spans="1:5" x14ac:dyDescent="0.3">
      <c r="A36" s="11">
        <v>25</v>
      </c>
      <c r="B36">
        <v>0.205774318810131</v>
      </c>
    </row>
    <row r="37" spans="1:5" x14ac:dyDescent="0.3">
      <c r="A37" s="11">
        <v>35</v>
      </c>
      <c r="B37">
        <v>6.4402649398590792E-2</v>
      </c>
    </row>
    <row r="38" spans="1:5" x14ac:dyDescent="0.3">
      <c r="A38" s="11">
        <v>45</v>
      </c>
      <c r="B38">
        <v>3.6128315516282601E-2</v>
      </c>
    </row>
    <row r="39" spans="1:5" x14ac:dyDescent="0.3">
      <c r="A39" s="11" t="s">
        <v>19</v>
      </c>
      <c r="B39">
        <v>0.19792033717615701</v>
      </c>
    </row>
    <row r="40" spans="1:5" x14ac:dyDescent="0.3">
      <c r="A40" s="11" t="s">
        <v>24</v>
      </c>
      <c r="B40">
        <v>0.58590702989449606</v>
      </c>
    </row>
  </sheetData>
  <mergeCells count="1">
    <mergeCell ref="B3:J3"/>
  </mergeCells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5</vt:i4>
      </vt:variant>
    </vt:vector>
  </HeadingPairs>
  <TitlesOfParts>
    <vt:vector size="5" baseType="lpstr">
      <vt:lpstr>RAR</vt:lpstr>
      <vt:lpstr>Tensile_strength</vt:lpstr>
      <vt:lpstr>Beech_RAR</vt:lpstr>
      <vt:lpstr>Spruce_RAR</vt:lpstr>
      <vt:lpstr>Pine_RAR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Pia Potoradi</dc:creator>
  <cp:lastModifiedBy>Peter, Kevin</cp:lastModifiedBy>
  <dcterms:created xsi:type="dcterms:W3CDTF">2024-02-22T07:41:05Z</dcterms:created>
  <dcterms:modified xsi:type="dcterms:W3CDTF">2024-02-24T23:10:45Z</dcterms:modified>
</cp:coreProperties>
</file>