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5424717-34DD-4D26-AAEF-3838FA4BE63F}" xr6:coauthVersionLast="47" xr6:coauthVersionMax="47" xr10:uidLastSave="{00000000-0000-0000-0000-000000000000}"/>
  <bookViews>
    <workbookView xWindow="-108" yWindow="-108" windowWidth="23256" windowHeight="12576" xr2:uid="{1798F0EE-0207-4383-9816-CAB1D302A260}"/>
  </bookViews>
  <sheets>
    <sheet name="Tensile_streng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2" i="1" l="1"/>
  <c r="D82" i="1" s="1"/>
  <c r="D81" i="1"/>
  <c r="C81" i="1"/>
  <c r="D80" i="1"/>
  <c r="C80" i="1"/>
  <c r="C79" i="1"/>
  <c r="D79" i="1" s="1"/>
  <c r="C78" i="1"/>
  <c r="D78" i="1" s="1"/>
  <c r="D77" i="1"/>
  <c r="C77" i="1"/>
  <c r="D76" i="1"/>
  <c r="C76" i="1"/>
  <c r="D75" i="1"/>
  <c r="C75" i="1"/>
  <c r="C74" i="1"/>
  <c r="D74" i="1" s="1"/>
  <c r="D73" i="1"/>
  <c r="C73" i="1"/>
  <c r="D72" i="1"/>
  <c r="C72" i="1"/>
  <c r="D71" i="1"/>
  <c r="C71" i="1"/>
  <c r="C70" i="1"/>
  <c r="D70" i="1" s="1"/>
  <c r="D69" i="1"/>
  <c r="C69" i="1"/>
  <c r="D68" i="1"/>
  <c r="C68" i="1"/>
  <c r="D67" i="1"/>
  <c r="C67" i="1"/>
  <c r="C66" i="1"/>
  <c r="D66" i="1" s="1"/>
  <c r="D65" i="1"/>
  <c r="C65" i="1"/>
  <c r="D64" i="1"/>
  <c r="C64" i="1"/>
  <c r="D63" i="1"/>
  <c r="C63" i="1"/>
  <c r="C57" i="1"/>
  <c r="D57" i="1" s="1"/>
  <c r="D56" i="1"/>
  <c r="C56" i="1"/>
  <c r="D55" i="1"/>
  <c r="C55" i="1"/>
  <c r="D54" i="1"/>
  <c r="C54" i="1"/>
  <c r="C53" i="1"/>
  <c r="D53" i="1" s="1"/>
  <c r="D52" i="1"/>
  <c r="C52" i="1"/>
  <c r="D51" i="1"/>
  <c r="C51" i="1"/>
  <c r="D50" i="1"/>
  <c r="C50" i="1"/>
  <c r="C49" i="1"/>
  <c r="D49" i="1" s="1"/>
  <c r="D48" i="1"/>
  <c r="C48" i="1"/>
  <c r="D47" i="1"/>
  <c r="C47" i="1"/>
  <c r="D46" i="1"/>
  <c r="C46" i="1"/>
  <c r="C45" i="1"/>
  <c r="D45" i="1" s="1"/>
  <c r="D44" i="1"/>
  <c r="C44" i="1"/>
  <c r="D43" i="1"/>
  <c r="C43" i="1"/>
  <c r="D42" i="1"/>
  <c r="C42" i="1"/>
  <c r="C41" i="1"/>
  <c r="D41" i="1" s="1"/>
  <c r="D40" i="1"/>
  <c r="C40" i="1"/>
  <c r="D39" i="1"/>
  <c r="C39" i="1"/>
  <c r="D38" i="1"/>
  <c r="C38" i="1"/>
  <c r="C37" i="1"/>
  <c r="D37" i="1" s="1"/>
  <c r="D36" i="1"/>
  <c r="C36" i="1"/>
  <c r="D35" i="1"/>
  <c r="C35" i="1"/>
  <c r="D34" i="1"/>
  <c r="C34" i="1"/>
  <c r="C33" i="1"/>
  <c r="D33" i="1" s="1"/>
  <c r="D32" i="1"/>
  <c r="C32" i="1"/>
  <c r="D31" i="1"/>
  <c r="C31" i="1"/>
  <c r="D30" i="1"/>
  <c r="C30" i="1"/>
  <c r="C29" i="1"/>
  <c r="D29" i="1" s="1"/>
  <c r="D28" i="1"/>
  <c r="C28" i="1"/>
  <c r="D27" i="1"/>
  <c r="C27" i="1"/>
  <c r="D26" i="1"/>
  <c r="C26" i="1"/>
  <c r="C25" i="1"/>
  <c r="D25" i="1" s="1"/>
  <c r="D19" i="1"/>
  <c r="C19" i="1"/>
  <c r="D18" i="1"/>
  <c r="C18" i="1"/>
  <c r="D17" i="1"/>
  <c r="C17" i="1"/>
  <c r="C16" i="1"/>
  <c r="D16" i="1" s="1"/>
  <c r="D15" i="1"/>
  <c r="C15" i="1"/>
  <c r="D14" i="1"/>
  <c r="C14" i="1"/>
  <c r="D13" i="1"/>
  <c r="C13" i="1"/>
  <c r="C12" i="1"/>
  <c r="D12" i="1" s="1"/>
  <c r="D11" i="1"/>
  <c r="C11" i="1"/>
  <c r="D10" i="1"/>
  <c r="C10" i="1"/>
  <c r="D9" i="1"/>
  <c r="C9" i="1"/>
  <c r="C8" i="1"/>
  <c r="D8" i="1" s="1"/>
  <c r="D7" i="1"/>
  <c r="C7" i="1"/>
  <c r="D6" i="1"/>
  <c r="C6" i="1"/>
  <c r="D5" i="1"/>
  <c r="C5" i="1"/>
  <c r="C4" i="1"/>
  <c r="D4" i="1" s="1"/>
</calcChain>
</file>

<file path=xl/sharedStrings.xml><?xml version="1.0" encoding="utf-8"?>
<sst xmlns="http://schemas.openxmlformats.org/spreadsheetml/2006/main" count="15" uniqueCount="7">
  <si>
    <t>Beech</t>
  </si>
  <si>
    <t>diameter at break point [mm]</t>
  </si>
  <si>
    <t>break weight [kg]</t>
  </si>
  <si>
    <t>FFr [N]</t>
  </si>
  <si>
    <t>Tr [Mpa = N/mm²]</t>
  </si>
  <si>
    <t>Spruce</t>
  </si>
  <si>
    <t>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</si>
</sst>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1" fillId="2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Root Tensile Stength of European Beech</a:t>
            </a:r>
          </a:p>
        </c:rich>
      </c:tx>
      <c:layout>
        <c:manualLayout>
          <c:xMode val="edge"/>
          <c:yMode val="edge"/>
          <c:x val="9.7674151883565791E-2"/>
          <c:y val="4.0257648953301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5448367353682313"/>
                  <c:y val="-0.57463990008495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Tensile_strength!$A$4:$A$19</c:f>
              <c:numCache>
                <c:formatCode>0.00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</c:numCache>
            </c:numRef>
          </c:xVal>
          <c:yVal>
            <c:numRef>
              <c:f>Tensile_strength!$D$4:$D$19</c:f>
              <c:numCache>
                <c:formatCode>General</c:formatCode>
                <c:ptCount val="16"/>
                <c:pt idx="0">
                  <c:v>5.3084539718870767</c:v>
                </c:pt>
                <c:pt idx="1">
                  <c:v>24.512566870184443</c:v>
                </c:pt>
                <c:pt idx="2">
                  <c:v>19.204112898297371</c:v>
                </c:pt>
                <c:pt idx="3">
                  <c:v>51.835491725485589</c:v>
                </c:pt>
                <c:pt idx="4">
                  <c:v>8.326986622567965</c:v>
                </c:pt>
                <c:pt idx="5">
                  <c:v>13.700495177443855</c:v>
                </c:pt>
                <c:pt idx="6">
                  <c:v>15.613099917314935</c:v>
                </c:pt>
                <c:pt idx="7">
                  <c:v>28.103579851166881</c:v>
                </c:pt>
                <c:pt idx="8">
                  <c:v>33.724295821400261</c:v>
                </c:pt>
                <c:pt idx="9">
                  <c:v>26.542269859435386</c:v>
                </c:pt>
                <c:pt idx="10">
                  <c:v>16.912109830435536</c:v>
                </c:pt>
                <c:pt idx="11">
                  <c:v>27.756622075226549</c:v>
                </c:pt>
                <c:pt idx="12">
                  <c:v>21.702208885067758</c:v>
                </c:pt>
                <c:pt idx="13">
                  <c:v>17.994097654705463</c:v>
                </c:pt>
                <c:pt idx="14">
                  <c:v>35.250910035537714</c:v>
                </c:pt>
                <c:pt idx="15">
                  <c:v>12.090784575968684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85-4C70-8E6F-83CF9D53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712600"/>
        <c:axId val="239713584"/>
      </c:scatterChart>
      <c:valAx>
        <c:axId val="23971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Diameter at Breaking Point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713584"/>
        <c:crosses val="autoZero"/>
        <c:crossBetween val="midCat"/>
      </c:valAx>
      <c:valAx>
        <c:axId val="2397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Root Tensile Strength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971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Root Tensile Stength of Norway Spruce</a:t>
            </a:r>
          </a:p>
        </c:rich>
      </c:tx>
      <c:layout>
        <c:manualLayout>
          <c:xMode val="edge"/>
          <c:yMode val="edge"/>
          <c:x val="0.10064330000045409"/>
          <c:y val="3.6144566883418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626932109423878"/>
                  <c:y val="-0.60504012742620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Tensile_strength!$A$25:$A$57</c:f>
              <c:numCache>
                <c:formatCode>0.00</c:formatCode>
                <c:ptCount val="33"/>
                <c:pt idx="0">
                  <c:v>1.5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2.5</c:v>
                </c:pt>
                <c:pt idx="5">
                  <c:v>4.5</c:v>
                </c:pt>
                <c:pt idx="6">
                  <c:v>5</c:v>
                </c:pt>
                <c:pt idx="7">
                  <c:v>5</c:v>
                </c:pt>
                <c:pt idx="8">
                  <c:v>4.5</c:v>
                </c:pt>
                <c:pt idx="9">
                  <c:v>5</c:v>
                </c:pt>
                <c:pt idx="10">
                  <c:v>4.5</c:v>
                </c:pt>
                <c:pt idx="11">
                  <c:v>4.5</c:v>
                </c:pt>
                <c:pt idx="12">
                  <c:v>6</c:v>
                </c:pt>
                <c:pt idx="13">
                  <c:v>5.5</c:v>
                </c:pt>
                <c:pt idx="14">
                  <c:v>4.5</c:v>
                </c:pt>
                <c:pt idx="15">
                  <c:v>3.5</c:v>
                </c:pt>
                <c:pt idx="16">
                  <c:v>2</c:v>
                </c:pt>
                <c:pt idx="17">
                  <c:v>3</c:v>
                </c:pt>
                <c:pt idx="18">
                  <c:v>1.5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1.5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Tensile_strength!$D$25:$D$57</c:f>
              <c:numCache>
                <c:formatCode>General</c:formatCode>
                <c:ptCount val="33"/>
                <c:pt idx="0">
                  <c:v>18.596936790401788</c:v>
                </c:pt>
                <c:pt idx="1">
                  <c:v>9.0555979520426622</c:v>
                </c:pt>
                <c:pt idx="2">
                  <c:v>10.773038942947306</c:v>
                </c:pt>
                <c:pt idx="3">
                  <c:v>13.612074050361104</c:v>
                </c:pt>
                <c:pt idx="4">
                  <c:v>12.190708415439499</c:v>
                </c:pt>
                <c:pt idx="5">
                  <c:v>14.063355184781452</c:v>
                </c:pt>
                <c:pt idx="6">
                  <c:v>15.313328398902485</c:v>
                </c:pt>
                <c:pt idx="7">
                  <c:v>8.9182026727702901</c:v>
                </c:pt>
                <c:pt idx="8">
                  <c:v>14.063355184781452</c:v>
                </c:pt>
                <c:pt idx="9">
                  <c:v>11.516222499011494</c:v>
                </c:pt>
                <c:pt idx="10">
                  <c:v>9.036322520045978</c:v>
                </c:pt>
                <c:pt idx="11">
                  <c:v>6.5073858420808914</c:v>
                </c:pt>
                <c:pt idx="12">
                  <c:v>4.9961919735407792</c:v>
                </c:pt>
                <c:pt idx="13">
                  <c:v>2.0851875592050355</c:v>
                </c:pt>
                <c:pt idx="14">
                  <c:v>5.8905720181869681</c:v>
                </c:pt>
                <c:pt idx="15">
                  <c:v>5.913859887048269</c:v>
                </c:pt>
                <c:pt idx="16">
                  <c:v>6.8697639636185723</c:v>
                </c:pt>
                <c:pt idx="17">
                  <c:v>2.3593128763942564</c:v>
                </c:pt>
                <c:pt idx="18">
                  <c:v>18.041804348897255</c:v>
                </c:pt>
                <c:pt idx="19">
                  <c:v>9.0555979520426622</c:v>
                </c:pt>
                <c:pt idx="20">
                  <c:v>1.7174409909046431</c:v>
                </c:pt>
                <c:pt idx="21">
                  <c:v>6.8697639636185723</c:v>
                </c:pt>
                <c:pt idx="22">
                  <c:v>13.323178596108743</c:v>
                </c:pt>
                <c:pt idx="23">
                  <c:v>12.490479933851947</c:v>
                </c:pt>
                <c:pt idx="24">
                  <c:v>6.6615892980543716</c:v>
                </c:pt>
                <c:pt idx="25">
                  <c:v>4.059405978501883</c:v>
                </c:pt>
                <c:pt idx="26">
                  <c:v>28.728103847859476</c:v>
                </c:pt>
                <c:pt idx="27">
                  <c:v>10.616907943774153</c:v>
                </c:pt>
                <c:pt idx="28">
                  <c:v>23.731911874318698</c:v>
                </c:pt>
                <c:pt idx="29">
                  <c:v>4.3716679768481814</c:v>
                </c:pt>
                <c:pt idx="30">
                  <c:v>11.241431940466752</c:v>
                </c:pt>
                <c:pt idx="31">
                  <c:v>15.613099917314935</c:v>
                </c:pt>
                <c:pt idx="32">
                  <c:v>17.486671907392726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29-436F-918C-83D44E99B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87008"/>
        <c:axId val="235387664"/>
      </c:scatterChart>
      <c:valAx>
        <c:axId val="2353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Diameter at Breaking Point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5387664"/>
        <c:crosses val="autoZero"/>
        <c:crossBetween val="midCat"/>
      </c:valAx>
      <c:valAx>
        <c:axId val="2353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Root Tensile Strength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53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/>
              <a:t>Root Tensile Stength of Scots Pine</a:t>
            </a:r>
          </a:p>
        </c:rich>
      </c:tx>
      <c:layout>
        <c:manualLayout>
          <c:xMode val="edge"/>
          <c:yMode val="edge"/>
          <c:x val="0.10070006412266751"/>
          <c:y val="3.21866827600080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462260030017248"/>
                  <c:y val="-0.46679085150566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Tensile_strength!$A$63:$A$82</c:f>
              <c:numCache>
                <c:formatCode>0.00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</c:numCache>
            </c:numRef>
          </c:xVal>
          <c:yVal>
            <c:numRef>
              <c:f>Tensile_strength!$D$63:$D$82</c:f>
              <c:numCache>
                <c:formatCode>General</c:formatCode>
                <c:ptCount val="20"/>
                <c:pt idx="0">
                  <c:v>5.7768469694065256</c:v>
                </c:pt>
                <c:pt idx="1">
                  <c:v>11.7098249379862</c:v>
                </c:pt>
                <c:pt idx="2">
                  <c:v>8.5872049545232141</c:v>
                </c:pt>
                <c:pt idx="3">
                  <c:v>6.8697639636185723</c:v>
                </c:pt>
                <c:pt idx="4">
                  <c:v>5.4645849710602263</c:v>
                </c:pt>
                <c:pt idx="5">
                  <c:v>1.2490479933851948</c:v>
                </c:pt>
                <c:pt idx="6">
                  <c:v>3.1226199834629869</c:v>
                </c:pt>
                <c:pt idx="7">
                  <c:v>8.7433359536963628</c:v>
                </c:pt>
                <c:pt idx="8">
                  <c:v>6.2452399669259737</c:v>
                </c:pt>
                <c:pt idx="9">
                  <c:v>10.616907943774153</c:v>
                </c:pt>
                <c:pt idx="10">
                  <c:v>9.9923839470815583</c:v>
                </c:pt>
                <c:pt idx="11">
                  <c:v>3.1226199834629869</c:v>
                </c:pt>
                <c:pt idx="12">
                  <c:v>22.638994880106655</c:v>
                </c:pt>
                <c:pt idx="13">
                  <c:v>5.620715970233376</c:v>
                </c:pt>
                <c:pt idx="14">
                  <c:v>3.7471439801555841</c:v>
                </c:pt>
                <c:pt idx="15">
                  <c:v>3.7471439801555841</c:v>
                </c:pt>
                <c:pt idx="16">
                  <c:v>11.965879776630164</c:v>
                </c:pt>
                <c:pt idx="17">
                  <c:v>11.865955937159349</c:v>
                </c:pt>
                <c:pt idx="18">
                  <c:v>5.8809343021886251</c:v>
                </c:pt>
                <c:pt idx="19">
                  <c:v>0.62452399669259739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3-4780-8C99-181321046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92256"/>
        <c:axId val="233187664"/>
      </c:scatterChart>
      <c:valAx>
        <c:axId val="23319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Diameter at Breaking Point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3187664"/>
        <c:crosses val="autoZero"/>
        <c:crossBetween val="midCat"/>
      </c:valAx>
      <c:valAx>
        <c:axId val="2331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/>
                  <a:t>Root Tensile Strength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3319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246696</xdr:colOff>
      <xdr:row>2</xdr:row>
      <xdr:rowOff>0</xdr:rowOff>
    </xdr:from>
    <xdr:to>
      <xdr:col>11</xdr:col>
      <xdr:colOff>419099</xdr:colOff>
      <xdr:row>19</xdr:row>
      <xdr:rowOff>45720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0782364-C518-4992-BC0D-EC7C93DC5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401002</xdr:colOff>
      <xdr:row>23</xdr:row>
      <xdr:rowOff>167639</xdr:rowOff>
    </xdr:from>
    <xdr:to>
      <xdr:col>11</xdr:col>
      <xdr:colOff>579120</xdr:colOff>
      <xdr:row>41</xdr:row>
      <xdr:rowOff>38100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F1C9AEF-2620-411A-B53D-73D89C722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610552</xdr:colOff>
      <xdr:row>62</xdr:row>
      <xdr:rowOff>142874</xdr:rowOff>
    </xdr:from>
    <xdr:to>
      <xdr:col>11</xdr:col>
      <xdr:colOff>777240</xdr:colOff>
      <xdr:row>80</xdr:row>
      <xdr:rowOff>7619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DB391E66-D39C-4B26-BAF3-BACAFD02E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18A8-0CAF-4281-A10D-CF3D4C015D3B}">
  <dimension ref="A1:D82"/>
  <sheetViews>
    <sheetView tabSelected="1" topLeftCell="A55" zoomScaleNormal="100" workbookViewId="0">
      <selection activeCell="N58" sqref="N58"/>
    </sheetView>
  </sheetViews>
  <sheetFormatPr defaultColWidth="11.5546875" defaultRowHeight="14.4" x14ac:dyDescent="0.3"/>
  <cols>
    <col min="1" max="1" width="26.109375" bestFit="1" customWidth="1"/>
    <col min="2" max="2" width="16.5546875" bestFit="1" customWidth="1"/>
    <col min="4" max="4" width="17" bestFit="1" customWidth="1"/>
  </cols>
  <sheetData>
    <row r="1" spans="1:4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3">
        <v>2</v>
      </c>
      <c r="B4" s="3">
        <v>1.7</v>
      </c>
      <c r="C4">
        <f t="shared" ref="C4:C19" si="0">B4*9.81</f>
        <v>16.677</v>
      </c>
      <c r="D4">
        <f t="shared" ref="D4:D19" si="1">C4/(PI()/4*A4^2)</f>
        <v>5.3084539718870767</v>
      </c>
    </row>
    <row r="5" spans="1:4" x14ac:dyDescent="0.3">
      <c r="A5" s="3">
        <v>2</v>
      </c>
      <c r="B5" s="3">
        <v>7.85</v>
      </c>
      <c r="C5">
        <f t="shared" si="0"/>
        <v>77.008499999999998</v>
      </c>
      <c r="D5">
        <f t="shared" si="1"/>
        <v>24.512566870184443</v>
      </c>
    </row>
    <row r="6" spans="1:4" x14ac:dyDescent="0.3">
      <c r="A6" s="3">
        <v>2</v>
      </c>
      <c r="B6" s="3">
        <v>6.15</v>
      </c>
      <c r="C6">
        <f t="shared" si="0"/>
        <v>60.331500000000005</v>
      </c>
      <c r="D6">
        <f t="shared" si="1"/>
        <v>19.204112898297371</v>
      </c>
    </row>
    <row r="7" spans="1:4" x14ac:dyDescent="0.3">
      <c r="A7" s="3">
        <v>1</v>
      </c>
      <c r="B7" s="3">
        <v>4.1500000000000004</v>
      </c>
      <c r="C7">
        <f t="shared" si="0"/>
        <v>40.711500000000008</v>
      </c>
      <c r="D7">
        <f t="shared" si="1"/>
        <v>51.835491725485589</v>
      </c>
    </row>
    <row r="8" spans="1:4" x14ac:dyDescent="0.3">
      <c r="A8" s="3">
        <v>3</v>
      </c>
      <c r="B8" s="3">
        <v>6</v>
      </c>
      <c r="C8">
        <f t="shared" si="0"/>
        <v>58.86</v>
      </c>
      <c r="D8">
        <f t="shared" si="1"/>
        <v>8.326986622567965</v>
      </c>
    </row>
    <row r="9" spans="1:4" x14ac:dyDescent="0.3">
      <c r="A9" s="3">
        <v>4</v>
      </c>
      <c r="B9" s="3">
        <v>17.55</v>
      </c>
      <c r="C9">
        <f t="shared" si="0"/>
        <v>172.16550000000001</v>
      </c>
      <c r="D9">
        <f t="shared" si="1"/>
        <v>13.700495177443855</v>
      </c>
    </row>
    <row r="10" spans="1:4" x14ac:dyDescent="0.3">
      <c r="A10" s="3">
        <v>1</v>
      </c>
      <c r="B10" s="3">
        <v>1.25</v>
      </c>
      <c r="C10">
        <f t="shared" si="0"/>
        <v>12.262500000000001</v>
      </c>
      <c r="D10">
        <f t="shared" si="1"/>
        <v>15.613099917314935</v>
      </c>
    </row>
    <row r="11" spans="1:4" x14ac:dyDescent="0.3">
      <c r="A11" s="3">
        <v>1</v>
      </c>
      <c r="B11" s="3">
        <v>2.25</v>
      </c>
      <c r="C11">
        <f t="shared" si="0"/>
        <v>22.072500000000002</v>
      </c>
      <c r="D11">
        <f t="shared" si="1"/>
        <v>28.103579851166881</v>
      </c>
    </row>
    <row r="12" spans="1:4" x14ac:dyDescent="0.3">
      <c r="A12" s="3">
        <v>1</v>
      </c>
      <c r="B12" s="3">
        <v>2.7</v>
      </c>
      <c r="C12">
        <f t="shared" si="0"/>
        <v>26.487000000000002</v>
      </c>
      <c r="D12">
        <f t="shared" si="1"/>
        <v>33.724295821400261</v>
      </c>
    </row>
    <row r="13" spans="1:4" x14ac:dyDescent="0.3">
      <c r="A13" s="3">
        <v>2</v>
      </c>
      <c r="B13" s="3">
        <v>8.5</v>
      </c>
      <c r="C13">
        <f t="shared" si="0"/>
        <v>83.385000000000005</v>
      </c>
      <c r="D13">
        <f t="shared" si="1"/>
        <v>26.542269859435386</v>
      </c>
    </row>
    <row r="14" spans="1:4" x14ac:dyDescent="0.3">
      <c r="A14" s="3">
        <v>5</v>
      </c>
      <c r="B14" s="3">
        <v>33.85</v>
      </c>
      <c r="C14">
        <f t="shared" si="0"/>
        <v>332.06850000000003</v>
      </c>
      <c r="D14">
        <f t="shared" si="1"/>
        <v>16.912109830435536</v>
      </c>
    </row>
    <row r="15" spans="1:4" x14ac:dyDescent="0.3">
      <c r="A15" s="3">
        <v>3</v>
      </c>
      <c r="B15" s="3">
        <v>20</v>
      </c>
      <c r="C15">
        <f t="shared" si="0"/>
        <v>196.20000000000002</v>
      </c>
      <c r="D15">
        <f t="shared" si="1"/>
        <v>27.756622075226549</v>
      </c>
    </row>
    <row r="16" spans="1:4" x14ac:dyDescent="0.3">
      <c r="A16" s="3">
        <v>4</v>
      </c>
      <c r="B16" s="3">
        <v>27.8</v>
      </c>
      <c r="C16">
        <f t="shared" si="0"/>
        <v>272.71800000000002</v>
      </c>
      <c r="D16">
        <f t="shared" si="1"/>
        <v>21.702208885067758</v>
      </c>
    </row>
    <row r="17" spans="1:4" x14ac:dyDescent="0.3">
      <c r="A17" s="3">
        <v>4</v>
      </c>
      <c r="B17" s="3">
        <v>23.05</v>
      </c>
      <c r="C17">
        <f t="shared" si="0"/>
        <v>226.12050000000002</v>
      </c>
      <c r="D17">
        <f t="shared" si="1"/>
        <v>17.994097654705463</v>
      </c>
    </row>
    <row r="18" spans="1:4" x14ac:dyDescent="0.3">
      <c r="A18" s="3">
        <v>3</v>
      </c>
      <c r="B18" s="3">
        <v>25.4</v>
      </c>
      <c r="C18">
        <f t="shared" si="0"/>
        <v>249.17400000000001</v>
      </c>
      <c r="D18">
        <f t="shared" si="1"/>
        <v>35.250910035537714</v>
      </c>
    </row>
    <row r="19" spans="1:4" x14ac:dyDescent="0.3">
      <c r="A19" s="3">
        <v>5</v>
      </c>
      <c r="B19" s="3">
        <v>24.2</v>
      </c>
      <c r="C19">
        <f t="shared" si="0"/>
        <v>237.40200000000002</v>
      </c>
      <c r="D19">
        <f t="shared" si="1"/>
        <v>12.090784575968684</v>
      </c>
    </row>
    <row r="22" spans="1:4" x14ac:dyDescent="0.3">
      <c r="A22" s="1" t="s">
        <v>5</v>
      </c>
    </row>
    <row r="24" spans="1:4" x14ac:dyDescent="0.3">
      <c r="A24" s="2" t="s">
        <v>1</v>
      </c>
      <c r="B24" s="2" t="s">
        <v>2</v>
      </c>
      <c r="C24" s="2" t="s">
        <v>3</v>
      </c>
      <c r="D24" s="2" t="s">
        <v>4</v>
      </c>
    </row>
    <row r="25" spans="1:4" x14ac:dyDescent="0.3">
      <c r="A25" s="3">
        <v>1.5</v>
      </c>
      <c r="B25" s="3">
        <v>3.35</v>
      </c>
      <c r="C25">
        <f t="shared" ref="C25:C57" si="2">B25*9.81</f>
        <v>32.863500000000002</v>
      </c>
      <c r="D25">
        <f t="shared" ref="D25:D57" si="3">C25/(PI()/4*A25^2)</f>
        <v>18.596936790401788</v>
      </c>
    </row>
    <row r="26" spans="1:4" x14ac:dyDescent="0.3">
      <c r="A26" s="3">
        <v>2</v>
      </c>
      <c r="B26" s="3">
        <v>2.9</v>
      </c>
      <c r="C26">
        <f t="shared" si="2"/>
        <v>28.449000000000002</v>
      </c>
      <c r="D26">
        <f t="shared" si="3"/>
        <v>9.0555979520426622</v>
      </c>
    </row>
    <row r="27" spans="1:4" x14ac:dyDescent="0.3">
      <c r="A27" s="3">
        <v>2</v>
      </c>
      <c r="B27" s="3">
        <v>3.45</v>
      </c>
      <c r="C27">
        <f t="shared" si="2"/>
        <v>33.844500000000004</v>
      </c>
      <c r="D27">
        <f t="shared" si="3"/>
        <v>10.773038942947306</v>
      </c>
    </row>
    <row r="28" spans="1:4" x14ac:dyDescent="0.3">
      <c r="A28" s="3">
        <v>3.5</v>
      </c>
      <c r="B28" s="3">
        <v>13.35</v>
      </c>
      <c r="C28">
        <f t="shared" si="2"/>
        <v>130.96350000000001</v>
      </c>
      <c r="D28">
        <f t="shared" si="3"/>
        <v>13.612074050361104</v>
      </c>
    </row>
    <row r="29" spans="1:4" x14ac:dyDescent="0.3">
      <c r="A29" s="3">
        <v>2.5</v>
      </c>
      <c r="B29" s="3">
        <v>6.1</v>
      </c>
      <c r="C29">
        <f t="shared" si="2"/>
        <v>59.841000000000001</v>
      </c>
      <c r="D29">
        <f t="shared" si="3"/>
        <v>12.190708415439499</v>
      </c>
    </row>
    <row r="30" spans="1:4" x14ac:dyDescent="0.3">
      <c r="A30" s="3">
        <v>4.5</v>
      </c>
      <c r="B30" s="3">
        <v>22.8</v>
      </c>
      <c r="C30">
        <f t="shared" si="2"/>
        <v>223.66800000000001</v>
      </c>
      <c r="D30">
        <f t="shared" si="3"/>
        <v>14.063355184781452</v>
      </c>
    </row>
    <row r="31" spans="1:4" x14ac:dyDescent="0.3">
      <c r="A31" s="3">
        <v>5</v>
      </c>
      <c r="B31" s="3">
        <v>30.65</v>
      </c>
      <c r="C31">
        <f t="shared" si="2"/>
        <v>300.67649999999998</v>
      </c>
      <c r="D31">
        <f t="shared" si="3"/>
        <v>15.313328398902485</v>
      </c>
    </row>
    <row r="32" spans="1:4" x14ac:dyDescent="0.3">
      <c r="A32" s="3">
        <v>5</v>
      </c>
      <c r="B32" s="3">
        <v>17.850000000000001</v>
      </c>
      <c r="C32">
        <f t="shared" si="2"/>
        <v>175.10850000000002</v>
      </c>
      <c r="D32">
        <f t="shared" si="3"/>
        <v>8.9182026727702901</v>
      </c>
    </row>
    <row r="33" spans="1:4" x14ac:dyDescent="0.3">
      <c r="A33" s="3">
        <v>4.5</v>
      </c>
      <c r="B33" s="3">
        <v>22.8</v>
      </c>
      <c r="C33">
        <f t="shared" si="2"/>
        <v>223.66800000000001</v>
      </c>
      <c r="D33">
        <f t="shared" si="3"/>
        <v>14.063355184781452</v>
      </c>
    </row>
    <row r="34" spans="1:4" x14ac:dyDescent="0.3">
      <c r="A34" s="3">
        <v>5</v>
      </c>
      <c r="B34" s="3">
        <v>23.05</v>
      </c>
      <c r="C34">
        <f t="shared" si="2"/>
        <v>226.12050000000002</v>
      </c>
      <c r="D34">
        <f t="shared" si="3"/>
        <v>11.516222499011494</v>
      </c>
    </row>
    <row r="35" spans="1:4" x14ac:dyDescent="0.3">
      <c r="A35" s="3">
        <v>4.5</v>
      </c>
      <c r="B35" s="3">
        <v>14.65</v>
      </c>
      <c r="C35">
        <f t="shared" si="2"/>
        <v>143.71650000000002</v>
      </c>
      <c r="D35">
        <f t="shared" si="3"/>
        <v>9.036322520045978</v>
      </c>
    </row>
    <row r="36" spans="1:4" x14ac:dyDescent="0.3">
      <c r="A36" s="3">
        <v>4.5</v>
      </c>
      <c r="B36" s="3">
        <v>10.55</v>
      </c>
      <c r="C36">
        <f t="shared" si="2"/>
        <v>103.49550000000001</v>
      </c>
      <c r="D36">
        <f t="shared" si="3"/>
        <v>6.5073858420808914</v>
      </c>
    </row>
    <row r="37" spans="1:4" x14ac:dyDescent="0.3">
      <c r="A37" s="3">
        <v>6</v>
      </c>
      <c r="B37" s="3">
        <v>14.4</v>
      </c>
      <c r="C37">
        <f t="shared" si="2"/>
        <v>141.26400000000001</v>
      </c>
      <c r="D37">
        <f t="shared" si="3"/>
        <v>4.9961919735407792</v>
      </c>
    </row>
    <row r="38" spans="1:4" x14ac:dyDescent="0.3">
      <c r="A38" s="3">
        <v>5.5</v>
      </c>
      <c r="B38" s="3">
        <v>5.05</v>
      </c>
      <c r="C38">
        <f t="shared" si="2"/>
        <v>49.540500000000002</v>
      </c>
      <c r="D38">
        <f t="shared" si="3"/>
        <v>2.0851875592050355</v>
      </c>
    </row>
    <row r="39" spans="1:4" x14ac:dyDescent="0.3">
      <c r="A39" s="3">
        <v>4.5</v>
      </c>
      <c r="B39" s="3">
        <v>9.5500000000000007</v>
      </c>
      <c r="C39">
        <f t="shared" si="2"/>
        <v>93.685500000000005</v>
      </c>
      <c r="D39">
        <f t="shared" si="3"/>
        <v>5.8905720181869681</v>
      </c>
    </row>
    <row r="40" spans="1:4" x14ac:dyDescent="0.3">
      <c r="A40" s="3">
        <v>3.5</v>
      </c>
      <c r="B40" s="3">
        <v>5.8</v>
      </c>
      <c r="C40">
        <f t="shared" si="2"/>
        <v>56.898000000000003</v>
      </c>
      <c r="D40">
        <f t="shared" si="3"/>
        <v>5.913859887048269</v>
      </c>
    </row>
    <row r="41" spans="1:4" x14ac:dyDescent="0.3">
      <c r="A41" s="3">
        <v>2</v>
      </c>
      <c r="B41" s="3">
        <v>2.2000000000000002</v>
      </c>
      <c r="C41">
        <f t="shared" si="2"/>
        <v>21.582000000000004</v>
      </c>
      <c r="D41">
        <f t="shared" si="3"/>
        <v>6.8697639636185723</v>
      </c>
    </row>
    <row r="42" spans="1:4" x14ac:dyDescent="0.3">
      <c r="A42" s="3">
        <v>3</v>
      </c>
      <c r="B42" s="3">
        <v>1.7</v>
      </c>
      <c r="C42">
        <f t="shared" si="2"/>
        <v>16.677</v>
      </c>
      <c r="D42">
        <f t="shared" si="3"/>
        <v>2.3593128763942564</v>
      </c>
    </row>
    <row r="43" spans="1:4" x14ac:dyDescent="0.3">
      <c r="A43" s="3">
        <v>1.5</v>
      </c>
      <c r="B43" s="3">
        <v>3.25</v>
      </c>
      <c r="C43">
        <f t="shared" si="2"/>
        <v>31.8825</v>
      </c>
      <c r="D43">
        <f t="shared" si="3"/>
        <v>18.041804348897255</v>
      </c>
    </row>
    <row r="44" spans="1:4" x14ac:dyDescent="0.3">
      <c r="A44" s="3">
        <v>2</v>
      </c>
      <c r="B44" s="3">
        <v>2.9</v>
      </c>
      <c r="C44">
        <f t="shared" si="2"/>
        <v>28.449000000000002</v>
      </c>
      <c r="D44">
        <f t="shared" si="3"/>
        <v>9.0555979520426622</v>
      </c>
    </row>
    <row r="45" spans="1:4" x14ac:dyDescent="0.3">
      <c r="A45" s="3">
        <v>2</v>
      </c>
      <c r="B45" s="3">
        <v>0.55000000000000004</v>
      </c>
      <c r="C45">
        <f t="shared" si="2"/>
        <v>5.3955000000000011</v>
      </c>
      <c r="D45">
        <f t="shared" si="3"/>
        <v>1.7174409909046431</v>
      </c>
    </row>
    <row r="46" spans="1:4" x14ac:dyDescent="0.3">
      <c r="A46" s="3">
        <v>1</v>
      </c>
      <c r="B46" s="3">
        <v>0.55000000000000004</v>
      </c>
      <c r="C46">
        <f t="shared" si="2"/>
        <v>5.3955000000000011</v>
      </c>
      <c r="D46">
        <f t="shared" si="3"/>
        <v>6.8697639636185723</v>
      </c>
    </row>
    <row r="47" spans="1:4" x14ac:dyDescent="0.3">
      <c r="A47" s="3">
        <v>1.5</v>
      </c>
      <c r="B47" s="3">
        <v>2.4</v>
      </c>
      <c r="C47">
        <f t="shared" si="2"/>
        <v>23.544</v>
      </c>
      <c r="D47">
        <f t="shared" si="3"/>
        <v>13.323178596108743</v>
      </c>
    </row>
    <row r="48" spans="1:4" x14ac:dyDescent="0.3">
      <c r="A48" s="3">
        <v>1</v>
      </c>
      <c r="B48" s="3">
        <v>1</v>
      </c>
      <c r="C48">
        <f t="shared" si="2"/>
        <v>9.81</v>
      </c>
      <c r="D48">
        <f t="shared" si="3"/>
        <v>12.490479933851947</v>
      </c>
    </row>
    <row r="49" spans="1:4" x14ac:dyDescent="0.3">
      <c r="A49" s="3">
        <v>1.5</v>
      </c>
      <c r="B49" s="3">
        <v>1.2</v>
      </c>
      <c r="C49">
        <f t="shared" si="2"/>
        <v>11.772</v>
      </c>
      <c r="D49">
        <f t="shared" si="3"/>
        <v>6.6615892980543716</v>
      </c>
    </row>
    <row r="50" spans="1:4" x14ac:dyDescent="0.3">
      <c r="A50" s="3">
        <v>2</v>
      </c>
      <c r="B50" s="3">
        <v>1.3</v>
      </c>
      <c r="C50">
        <f t="shared" si="2"/>
        <v>12.753000000000002</v>
      </c>
      <c r="D50">
        <f t="shared" si="3"/>
        <v>4.059405978501883</v>
      </c>
    </row>
    <row r="51" spans="1:4" x14ac:dyDescent="0.3">
      <c r="A51" s="3">
        <v>1</v>
      </c>
      <c r="B51" s="3">
        <v>2.2999999999999998</v>
      </c>
      <c r="C51">
        <f t="shared" si="2"/>
        <v>22.562999999999999</v>
      </c>
      <c r="D51">
        <f t="shared" si="3"/>
        <v>28.728103847859476</v>
      </c>
    </row>
    <row r="52" spans="1:4" x14ac:dyDescent="0.3">
      <c r="A52" s="3">
        <v>1</v>
      </c>
      <c r="B52" s="3">
        <v>0.85</v>
      </c>
      <c r="C52">
        <f t="shared" si="2"/>
        <v>8.3384999999999998</v>
      </c>
      <c r="D52">
        <f t="shared" si="3"/>
        <v>10.616907943774153</v>
      </c>
    </row>
    <row r="53" spans="1:4" x14ac:dyDescent="0.3">
      <c r="A53" s="3">
        <v>1</v>
      </c>
      <c r="B53" s="3">
        <v>1.9</v>
      </c>
      <c r="C53">
        <f t="shared" si="2"/>
        <v>18.638999999999999</v>
      </c>
      <c r="D53">
        <f t="shared" si="3"/>
        <v>23.731911874318698</v>
      </c>
    </row>
    <row r="54" spans="1:4" x14ac:dyDescent="0.3">
      <c r="A54" s="3">
        <v>1</v>
      </c>
      <c r="B54" s="3">
        <v>0.35</v>
      </c>
      <c r="C54">
        <f t="shared" si="2"/>
        <v>3.4335</v>
      </c>
      <c r="D54">
        <f t="shared" si="3"/>
        <v>4.3716679768481814</v>
      </c>
    </row>
    <row r="55" spans="1:4" x14ac:dyDescent="0.3">
      <c r="A55" s="3">
        <v>1</v>
      </c>
      <c r="B55" s="3">
        <v>0.9</v>
      </c>
      <c r="C55">
        <f t="shared" si="2"/>
        <v>8.8290000000000006</v>
      </c>
      <c r="D55">
        <f t="shared" si="3"/>
        <v>11.241431940466752</v>
      </c>
    </row>
    <row r="56" spans="1:4" x14ac:dyDescent="0.3">
      <c r="A56" s="3">
        <v>1</v>
      </c>
      <c r="B56" s="3">
        <v>1.25</v>
      </c>
      <c r="C56">
        <f t="shared" si="2"/>
        <v>12.262500000000001</v>
      </c>
      <c r="D56">
        <f t="shared" si="3"/>
        <v>15.613099917314935</v>
      </c>
    </row>
    <row r="57" spans="1:4" x14ac:dyDescent="0.3">
      <c r="A57" s="3">
        <v>1</v>
      </c>
      <c r="B57" s="3">
        <v>1.4</v>
      </c>
      <c r="C57">
        <f t="shared" si="2"/>
        <v>13.734</v>
      </c>
      <c r="D57">
        <f t="shared" si="3"/>
        <v>17.486671907392726</v>
      </c>
    </row>
    <row r="60" spans="1:4" x14ac:dyDescent="0.3">
      <c r="A60" s="1" t="s">
        <v>6</v>
      </c>
    </row>
    <row r="62" spans="1:4" x14ac:dyDescent="0.3">
      <c r="A62" s="2" t="s">
        <v>1</v>
      </c>
      <c r="B62" s="2" t="s">
        <v>2</v>
      </c>
      <c r="C62" s="2" t="s">
        <v>3</v>
      </c>
      <c r="D62" s="2" t="s">
        <v>4</v>
      </c>
    </row>
    <row r="63" spans="1:4" x14ac:dyDescent="0.3">
      <c r="A63" s="3">
        <v>2</v>
      </c>
      <c r="B63" s="3">
        <v>1.85</v>
      </c>
      <c r="C63">
        <f t="shared" ref="C63:C81" si="4">B63*9.81</f>
        <v>18.148500000000002</v>
      </c>
      <c r="D63">
        <f t="shared" ref="D63:D82" si="5">C63/(PI()/4*A63^2)</f>
        <v>5.7768469694065256</v>
      </c>
    </row>
    <row r="64" spans="1:4" x14ac:dyDescent="0.3">
      <c r="A64" s="3">
        <v>2</v>
      </c>
      <c r="B64" s="3">
        <v>3.75</v>
      </c>
      <c r="C64">
        <f t="shared" si="4"/>
        <v>36.787500000000001</v>
      </c>
      <c r="D64">
        <f t="shared" si="5"/>
        <v>11.7098249379862</v>
      </c>
    </row>
    <row r="65" spans="1:4" x14ac:dyDescent="0.3">
      <c r="A65" s="3">
        <v>2</v>
      </c>
      <c r="B65" s="3">
        <v>2.75</v>
      </c>
      <c r="C65">
        <f t="shared" si="4"/>
        <v>26.977500000000003</v>
      </c>
      <c r="D65">
        <f t="shared" si="5"/>
        <v>8.5872049545232141</v>
      </c>
    </row>
    <row r="66" spans="1:4" x14ac:dyDescent="0.3">
      <c r="A66" s="3">
        <v>1</v>
      </c>
      <c r="B66" s="3">
        <v>0.55000000000000004</v>
      </c>
      <c r="C66">
        <f t="shared" si="4"/>
        <v>5.3955000000000011</v>
      </c>
      <c r="D66">
        <f t="shared" si="5"/>
        <v>6.8697639636185723</v>
      </c>
    </row>
    <row r="67" spans="1:4" x14ac:dyDescent="0.3">
      <c r="A67" s="3">
        <v>2</v>
      </c>
      <c r="B67" s="3">
        <v>1.75</v>
      </c>
      <c r="C67">
        <f t="shared" si="4"/>
        <v>17.1675</v>
      </c>
      <c r="D67">
        <f t="shared" si="5"/>
        <v>5.4645849710602263</v>
      </c>
    </row>
    <row r="68" spans="1:4" x14ac:dyDescent="0.3">
      <c r="A68" s="3">
        <v>1</v>
      </c>
      <c r="B68" s="3">
        <v>0.1</v>
      </c>
      <c r="C68">
        <f t="shared" si="4"/>
        <v>0.98100000000000009</v>
      </c>
      <c r="D68">
        <f t="shared" si="5"/>
        <v>1.2490479933851948</v>
      </c>
    </row>
    <row r="69" spans="1:4" x14ac:dyDescent="0.3">
      <c r="A69" s="3">
        <v>1</v>
      </c>
      <c r="B69" s="3">
        <v>0.25</v>
      </c>
      <c r="C69">
        <f t="shared" si="4"/>
        <v>2.4525000000000001</v>
      </c>
      <c r="D69">
        <f t="shared" si="5"/>
        <v>3.1226199834629869</v>
      </c>
    </row>
    <row r="70" spans="1:4" x14ac:dyDescent="0.3">
      <c r="A70" s="3">
        <v>1</v>
      </c>
      <c r="B70" s="3">
        <v>0.7</v>
      </c>
      <c r="C70">
        <f t="shared" si="4"/>
        <v>6.867</v>
      </c>
      <c r="D70">
        <f t="shared" si="5"/>
        <v>8.7433359536963628</v>
      </c>
    </row>
    <row r="71" spans="1:4" x14ac:dyDescent="0.3">
      <c r="A71" s="3">
        <v>1</v>
      </c>
      <c r="B71" s="3">
        <v>0.5</v>
      </c>
      <c r="C71">
        <f t="shared" si="4"/>
        <v>4.9050000000000002</v>
      </c>
      <c r="D71">
        <f t="shared" si="5"/>
        <v>6.2452399669259737</v>
      </c>
    </row>
    <row r="72" spans="1:4" x14ac:dyDescent="0.3">
      <c r="A72" s="3">
        <v>1</v>
      </c>
      <c r="B72" s="3">
        <v>0.85</v>
      </c>
      <c r="C72">
        <f t="shared" si="4"/>
        <v>8.3384999999999998</v>
      </c>
      <c r="D72">
        <f t="shared" si="5"/>
        <v>10.616907943774153</v>
      </c>
    </row>
    <row r="73" spans="1:4" x14ac:dyDescent="0.3">
      <c r="A73" s="3">
        <v>1</v>
      </c>
      <c r="B73" s="3">
        <v>0.8</v>
      </c>
      <c r="C73">
        <f t="shared" si="4"/>
        <v>7.8480000000000008</v>
      </c>
      <c r="D73">
        <f t="shared" si="5"/>
        <v>9.9923839470815583</v>
      </c>
    </row>
    <row r="74" spans="1:4" x14ac:dyDescent="0.3">
      <c r="A74" s="3">
        <v>1</v>
      </c>
      <c r="B74" s="3">
        <v>0.25</v>
      </c>
      <c r="C74">
        <f t="shared" si="4"/>
        <v>2.4525000000000001</v>
      </c>
      <c r="D74">
        <f t="shared" si="5"/>
        <v>3.1226199834629869</v>
      </c>
    </row>
    <row r="75" spans="1:4" x14ac:dyDescent="0.3">
      <c r="A75" s="3">
        <v>2</v>
      </c>
      <c r="B75" s="3">
        <v>7.25</v>
      </c>
      <c r="C75">
        <f t="shared" si="4"/>
        <v>71.122500000000002</v>
      </c>
      <c r="D75">
        <f t="shared" si="5"/>
        <v>22.638994880106655</v>
      </c>
    </row>
    <row r="76" spans="1:4" x14ac:dyDescent="0.3">
      <c r="A76" s="3">
        <v>1</v>
      </c>
      <c r="B76" s="3">
        <v>0.45</v>
      </c>
      <c r="C76">
        <f t="shared" si="4"/>
        <v>4.4145000000000003</v>
      </c>
      <c r="D76">
        <f t="shared" si="5"/>
        <v>5.620715970233376</v>
      </c>
    </row>
    <row r="77" spans="1:4" x14ac:dyDescent="0.3">
      <c r="A77" s="3">
        <v>2</v>
      </c>
      <c r="B77" s="3">
        <v>1.2</v>
      </c>
      <c r="C77">
        <f t="shared" si="4"/>
        <v>11.772</v>
      </c>
      <c r="D77">
        <f t="shared" si="5"/>
        <v>3.7471439801555841</v>
      </c>
    </row>
    <row r="78" spans="1:4" x14ac:dyDescent="0.3">
      <c r="A78" s="3">
        <v>1</v>
      </c>
      <c r="B78" s="3">
        <v>0.3</v>
      </c>
      <c r="C78">
        <f t="shared" si="4"/>
        <v>2.9430000000000001</v>
      </c>
      <c r="D78">
        <f t="shared" si="5"/>
        <v>3.7471439801555841</v>
      </c>
    </row>
    <row r="79" spans="1:4" x14ac:dyDescent="0.3">
      <c r="A79" s="3">
        <v>5</v>
      </c>
      <c r="B79" s="3">
        <v>23.95</v>
      </c>
      <c r="C79">
        <f t="shared" si="4"/>
        <v>234.9495</v>
      </c>
      <c r="D79">
        <f t="shared" si="5"/>
        <v>11.965879776630164</v>
      </c>
    </row>
    <row r="80" spans="1:4" x14ac:dyDescent="0.3">
      <c r="A80" s="3">
        <v>4</v>
      </c>
      <c r="B80" s="3">
        <v>15.2</v>
      </c>
      <c r="C80">
        <f t="shared" si="4"/>
        <v>149.11199999999999</v>
      </c>
      <c r="D80">
        <f t="shared" si="5"/>
        <v>11.865955937159349</v>
      </c>
    </row>
    <row r="81" spans="1:4" x14ac:dyDescent="0.3">
      <c r="A81" s="3">
        <v>6</v>
      </c>
      <c r="B81" s="3">
        <v>16.95</v>
      </c>
      <c r="C81">
        <f t="shared" si="4"/>
        <v>166.27950000000001</v>
      </c>
      <c r="D81">
        <f t="shared" si="5"/>
        <v>5.8809343021886251</v>
      </c>
    </row>
    <row r="82" spans="1:4" x14ac:dyDescent="0.3">
      <c r="A82" s="3">
        <v>2</v>
      </c>
      <c r="B82" s="3">
        <v>0.2</v>
      </c>
      <c r="C82">
        <f>B82*9.81</f>
        <v>1.9620000000000002</v>
      </c>
      <c r="D82">
        <f t="shared" si="5"/>
        <v>0.62452399669259739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Tensile_strength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Peter, Kevin</dc:creator>
  <cp:lastModifiedBy>Kevin Peter</cp:lastModifiedBy>
  <dcterms:created xsi:type="dcterms:W3CDTF">2024-02-24T23:11:22Z</dcterms:created>
  <dcterms:modified xsi:type="dcterms:W3CDTF">2024-04-01T16:29:04Z</dcterms:modified>
</cp:coreProperties>
</file>